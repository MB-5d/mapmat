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f97816340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aa6e6c0c621d4c1e"/>
    <x:sheet xmlns:r="http://schemas.openxmlformats.org/officeDocument/2006/relationships" name="Summary" sheetId="2" r:id="R307d153b50a04010"/>
    <x:sheet xmlns:r="http://schemas.openxmlformats.org/officeDocument/2006/relationships" name="Roadmap View" sheetId="3" r:id="R66e477b5189e4448"/>
    <x:sheet xmlns:r="http://schemas.openxmlformats.org/officeDocument/2006/relationships" name="Definitions" sheetId="4" r:id="R7bbcd167cea4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E7EEF7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1829d38314e5a" /><Relationship Type="http://schemas.openxmlformats.org/officeDocument/2006/relationships/theme" Target="/xl/theme/theme1.xml" Id="R22f6d8fe31764722" /><Relationship Type="http://schemas.openxmlformats.org/officeDocument/2006/relationships/sharedStrings" Target="/xl/sharedStrings.xml" Id="Rcac1f45be0d24af0" /><Relationship Type="http://schemas.openxmlformats.org/officeDocument/2006/relationships/worksheet" Target="/xl/worksheets/sheet1.xml" Id="Raa6e6c0c621d4c1e" /><Relationship Type="http://schemas.openxmlformats.org/officeDocument/2006/relationships/worksheet" Target="/xl/worksheets/sheet2.xml" Id="R307d153b50a04010" /><Relationship Type="http://schemas.openxmlformats.org/officeDocument/2006/relationships/worksheet" Target="/xl/worksheets/sheet3.xml" Id="R66e477b5189e4448" /><Relationship Type="http://schemas.openxmlformats.org/officeDocument/2006/relationships/worksheet" Target="/xl/worksheets/sheet4.xml" Id="R7bbcd167cea445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07ebb596974f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Feature Count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'Summary'!$A$6:$A$10</c:f>
              <c:strCache>
                <c:ptCount val="0"/>
              </c:strCache>
            </c:strRef>
          </c:cat>
          <c:val>
            <c:numRef>
              <c:f>'Summary'!$B$6:$B$10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07ebb596974f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llicFeatureMatrix" displayName="VellicFeatureMatrix" ref="A1:O77" headerRowCount="1">
  <x:autoFilter ref="A1:O77"/>
  <x:tableColumns count="15">
    <x:tableColumn id="1" name="Area"/>
    <x:tableColumn id="2" name="Feature"/>
    <x:tableColumn id="3" name="Description"/>
    <x:tableColumn id="4" name="Status"/>
    <x:tableColumn id="5" name="Priority"/>
    <x:tableColumn id="6" name="LOE"/>
    <x:tableColumn id="7" name="Risk"/>
    <x:tableColumn id="8" name="Roadmap Phase"/>
    <x:tableColumn id="9" name="Dependency"/>
    <x:tableColumn id="10" name="Evidence Source"/>
    <x:tableColumn id="11" name="Evidence Note"/>
    <x:tableColumn id="12" name="Owner"/>
    <x:tableColumn id="13" name="Target"/>
    <x:tableColumn id="14" name="Linear URL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llicRoadmapView" displayName="VellicRoadmapView" ref="A1:K37" headerRowCount="1">
  <x:tableColumns count="11">
    <x:tableColumn id="1" name="Priority"/>
    <x:tableColumn id="2" name="Area"/>
    <x:tableColumn id="3" name="Feature"/>
    <x:tableColumn id="4" name="Status"/>
    <x:tableColumn id="5" name="LOE"/>
    <x:tableColumn id="6" name="Risk"/>
    <x:tableColumn id="7" name="Phase"/>
    <x:tableColumn id="8" name="Dependency"/>
    <x:tableColumn id="9" name="Evidence"/>
    <x:tableColumn id="10" name="Notes"/>
    <x:tableColumn id="11" name="Linear URL"/>
  </x:tableColumns>
  <x:tableStyleInfo name="TableStyleMedium4" showRowStripes="1"/>
</x:table>
</file>

<file path=xl/tables/table3.xml><?xml version="1.0" encoding="utf-8"?>
<x:table xmlns:x="http://schemas.openxmlformats.org/spreadsheetml/2006/main" id="3" name="VellicRoadmapDefinitions" displayName="VellicRoadmapDefinitions" ref="A1:C15" headerRowCount="1">
  <x:tableColumns count="3">
    <x:tableColumn id="1" name="Field"/>
    <x:tableColumn id="2" name="Value"/>
    <x:tableColumn id="3" name="Meaning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f4dd2e1dd24c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14da32d1ba646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79e9e18ed5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88d823cafb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25.559999465942383" hidden="0" customWidth="1"/>
    <x:col min="3" max="3" width="37.779998779296875" hidden="0" customWidth="1"/>
    <x:col min="4" max="4" width="10.5600004196167" hidden="0" customWidth="1"/>
    <x:col min="5" max="5" width="9.4399995803833" hidden="0" customWidth="1"/>
    <x:col min="6" max="6" width="7.78000020980835" hidden="0" customWidth="1"/>
    <x:col min="7" max="7" width="8.890000343322754" hidden="0" customWidth="1"/>
    <x:col min="8" max="8" width="18.889999389648438" hidden="0" customWidth="1"/>
    <x:col min="9" max="9" width="25.559999465942383" hidden="0" customWidth="1"/>
    <x:col min="10" max="10" width="31.110000610351562" hidden="0" customWidth="1"/>
    <x:col min="11" max="11" width="40" hidden="0" customWidth="1"/>
    <x:col min="12" max="12" width="13.329999923706055" hidden="0" customWidth="1"/>
    <x:col min="13" max="13" width="13.329999923706055" hidden="0" customWidth="1"/>
    <x:col min="14" max="14" width="20" hidden="0" customWidth="1"/>
    <x:col min="15" max="15" width="31.110000610351562" hidden="0" customWidth="1"/>
  </x:cols>
  <x:sheetData>
    <x:row r="1">
      <x:c r="A1" s="8" t="str">
        <x:v>Area</x:v>
      </x:c>
      <x:c r="B1" s="8" t="str">
        <x:v>Feature</x:v>
      </x:c>
      <x:c r="C1" s="8" t="str">
        <x:v>Description</x:v>
      </x:c>
      <x:c r="D1" s="8" t="str">
        <x:v>Status</x:v>
      </x:c>
      <x:c r="E1" s="8" t="str">
        <x:v>Priority</x:v>
      </x:c>
      <x:c r="F1" s="8" t="str">
        <x:v>LOE</x:v>
      </x:c>
      <x:c r="G1" s="8" t="str">
        <x:v>Risk</x:v>
      </x:c>
      <x:c r="H1" s="8" t="str">
        <x:v>Roadmap Phase</x:v>
      </x:c>
      <x:c r="I1" s="8" t="str">
        <x:v>Dependency</x:v>
      </x:c>
      <x:c r="J1" s="8" t="str">
        <x:v>Evidence Source</x:v>
      </x:c>
      <x:c r="K1" s="8" t="str">
        <x:v>Evidence Note</x:v>
      </x:c>
      <x:c r="L1" s="8" t="str">
        <x:v>Owner</x:v>
      </x:c>
      <x:c r="M1" s="8" t="str">
        <x:v>Target</x:v>
      </x:c>
      <x:c r="N1" s="8" t="str">
        <x:v>Linear URL</x:v>
      </x:c>
      <x:c r="O1" s="8" t="str">
        <x:v>Notes</x:v>
      </x:c>
    </x:row>
    <x:row r="2" ht="43.5" customHeight="1">
      <x:c r="A2" s="9" t="str">
        <x:v>Scanning and discovery</x:v>
      </x:c>
      <x:c r="B2" s="9" t="str">
        <x:v>Public URL scan to visual map</x:v>
      </x:c>
      <x:c r="C2" s="9" t="str">
        <x:v>Scan a public website URL and create an editable visual sitemap.</x:v>
      </x:c>
      <x:c r="D2" s="9" t="str">
        <x:v>Complete</x:v>
      </x:c>
      <x:c r="E2" s="9" t="str">
        <x:v>P0</x:v>
      </x:c>
      <x:c r="F2" s="9" t="str">
        <x:v>Done</x:v>
      </x:c>
      <x:c r="G2" s="9" t="str">
        <x:v>Low</x:v>
      </x:c>
      <x:c r="H2" s="9" t="str">
        <x:v>Current product</x:v>
      </x:c>
      <x:c r="I2" s="9" t="str"/>
      <x:c r="J2" s="9" t="str">
        <x:v>README.md; frontend/src/components/scan/ScanBar.js; frontend/src/marketing/marketingConfig.js</x:v>
      </x:c>
      <x:c r="K2" s="9" t="str">
        <x:v>README lists intelligent crawler; marketing feature page describes URL scanning into a visual map.</x:v>
      </x:c>
      <x:c r="L2" s="9" t="str"/>
      <x:c r="M2" s="9" t="str"/>
      <x:c r="N2" s="9" t="str"/>
      <x:c r="O2" s="9" t="str">
        <x:v>Core product workflow.</x:v>
      </x:c>
    </x:row>
    <x:row r="3" ht="43.5" customHeight="1">
      <x:c r="A3" s="9" t="str">
        <x:v>Scanning and discovery</x:v>
      </x:c>
      <x:c r="B3" s="9" t="str">
        <x:v>Scan progress tracking</x:v>
      </x:c>
      <x:c r="C3" s="9" t="str">
        <x:v>Show scan progress, states, and errors while a crawl is running.</x:v>
      </x:c>
      <x:c r="D3" s="9" t="str">
        <x:v>Complete</x:v>
      </x:c>
      <x:c r="E3" s="9" t="str">
        <x:v>P0</x:v>
      </x:c>
      <x:c r="F3" s="9" t="str">
        <x:v>Done</x:v>
      </x:c>
      <x:c r="G3" s="9" t="str">
        <x:v>Low</x:v>
      </x:c>
      <x:c r="H3" s="9" t="str">
        <x:v>Current product</x:v>
      </x:c>
      <x:c r="I3" s="9" t="str"/>
      <x:c r="J3" s="9" t="str">
        <x:v>README.md; frontend/src/components/scan/ScanProgressModal.js; server.js</x:v>
      </x:c>
      <x:c r="K3" s="9" t="str">
        <x:v>README lists progress tracking; scan job statuses and modal component exist.</x:v>
      </x:c>
      <x:c r="L3" s="9" t="str"/>
      <x:c r="M3" s="9" t="str"/>
      <x:c r="N3" s="9" t="str"/>
      <x:c r="O3" s="9" t="str"/>
    </x:row>
    <x:row r="4" ht="43.5" customHeight="1">
      <x:c r="A4" s="9" t="str">
        <x:v>Scanning and discovery</x:v>
      </x:c>
      <x:c r="B4" s="9" t="str">
        <x:v>Scan history</x:v>
      </x:c>
      <x:c r="C4" s="9" t="str">
        <x:v>Keep a history of completed scans for later review.</x:v>
      </x:c>
      <x:c r="D4" s="9" t="str">
        <x:v>Complete</x:v>
      </x:c>
      <x:c r="E4" s="9" t="str">
        <x:v>P1</x:v>
      </x:c>
      <x:c r="F4" s="9" t="str">
        <x:v>Done</x:v>
      </x:c>
      <x:c r="G4" s="9" t="str">
        <x:v>Low</x:v>
      </x:c>
      <x:c r="H4" s="9" t="str">
        <x:v>Current product</x:v>
      </x:c>
      <x:c r="I4" s="9" t="str">
        <x:v>Saved map/session data</x:v>
      </x:c>
      <x:c r="J4" s="9" t="str">
        <x:v>README.md; frontend/src/components/modals/HistoryModal.js</x:v>
      </x:c>
      <x:c r="K4" s="9" t="str">
        <x:v>README lists scan history; HistoryModal component exists.</x:v>
      </x:c>
      <x:c r="L4" s="9" t="str"/>
      <x:c r="M4" s="9" t="str"/>
      <x:c r="N4" s="9" t="str"/>
      <x:c r="O4" s="9" t="str"/>
    </x:row>
    <x:row r="5" ht="43.5" customHeight="1">
      <x:c r="A5" s="9" t="str">
        <x:v>Scanning and discovery</x:v>
      </x:c>
      <x:c r="B5" s="9" t="str">
        <x:v>Scan result classification</x:v>
      </x:c>
      <x:c r="C5" s="9" t="str">
        <x:v>Classify and surface inactive pages, errors, broken links, files, subdomains, missing pages, duplicates, and orphan pages.</x:v>
      </x:c>
      <x:c r="D5" s="9" t="str">
        <x:v>Complete</x:v>
      </x:c>
      <x:c r="E5" s="9" t="str">
        <x:v>P1</x:v>
      </x:c>
      <x:c r="F5" s="9" t="str">
        <x:v>Done</x:v>
      </x:c>
      <x:c r="G5" s="9" t="str">
        <x:v>Medium</x:v>
      </x:c>
      <x:c r="H5" s="9" t="str">
        <x:v>Current product</x:v>
      </x:c>
      <x:c r="I5" s="9" t="str">
        <x:v>Crawler output normalization</x:v>
      </x:c>
      <x:c r="J5" s="9" t="str">
        <x:v>frontend/src/components/reports/ReportDrawer.js; scripts/check-scan-labeling-fixture.js; scripts/check-scan-page-classification.js</x:v>
      </x:c>
      <x:c r="K5" s="9" t="str">
        <x:v>Report drawer exposes those categories and targeted scan labeling/classification checks exist.</x:v>
      </x:c>
      <x:c r="L5" s="9" t="str"/>
      <x:c r="M5" s="9" t="str"/>
      <x:c r="N5" s="9" t="str"/>
      <x:c r="O5" s="9" t="str">
        <x:v>Keep fixture checks close to future scan changes.</x:v>
      </x:c>
    </x:row>
    <x:row r="6" ht="43.5" customHeight="1">
      <x:c r="A6" s="9" t="str">
        <x:v>Scanning and discovery</x:v>
      </x:c>
      <x:c r="B6" s="9" t="str">
        <x:v>Collapsed/root-only scan safeguards</x:v>
      </x:c>
      <x:c r="C6" s="9" t="str">
        <x:v>Detect and flag suspicious collapsed scan results instead of silently treating them as good output.</x:v>
      </x:c>
      <x:c r="D6" s="9" t="str">
        <x:v>Complete</x:v>
      </x:c>
      <x:c r="E6" s="9" t="str">
        <x:v>P1</x:v>
      </x:c>
      <x:c r="F6" s="9" t="str">
        <x:v>Done</x:v>
      </x:c>
      <x:c r="G6" s="9" t="str">
        <x:v>Medium</x:v>
      </x:c>
      <x:c r="H6" s="9" t="str">
        <x:v>Current product</x:v>
      </x:c>
      <x:c r="I6" s="9" t="str">
        <x:v>Scan diagnostics</x:v>
      </x:c>
      <x:c r="J6" s="9" t="str">
        <x:v>frontend/src/components/reports/ReportDrawer.js; scripts/check-scan-collapse-fixture.js; frontend/src/utils/scanCompletion.js</x:v>
      </x:c>
      <x:c r="K6" s="9" t="str">
        <x:v>Report drawer handles scan_collapsed diagnostics; collapse fixture check exists.</x:v>
      </x:c>
      <x:c r="L6" s="9" t="str"/>
      <x:c r="M6" s="9" t="str"/>
      <x:c r="N6" s="9" t="str"/>
      <x:c r="O6" s="9" t="str"/>
    </x:row>
    <x:row r="7" ht="43.5" customHeight="1">
      <x:c r="A7" s="9" t="str">
        <x:v>Scanning and discovery</x:v>
      </x:c>
      <x:c r="B7" s="9" t="str">
        <x:v>Authenticated/private page scanning</x:v>
      </x:c>
      <x:c r="C7" s="9" t="str">
        <x:v>Scan logged-in or private pages after an authentication pre-check.</x:v>
      </x:c>
      <x:c r="D7" s="9" t="str">
        <x:v>Future</x:v>
      </x:c>
      <x:c r="E7" s="9" t="str">
        <x:v>P2</x:v>
      </x:c>
      <x:c r="F7" s="9" t="str">
        <x:v>L</x:v>
      </x:c>
      <x:c r="G7" s="9" t="str">
        <x:v>High</x:v>
      </x:c>
      <x:c r="H7" s="9" t="str">
        <x:v>Future scan hardening</x:v>
      </x:c>
      <x:c r="I7" s="9" t="str">
        <x:v>Stable auth-session scan flow</x:v>
      </x:c>
      <x:c r="J7" s="9" t="str">
        <x:v>docs/authenticated-scan-paused.md; scripts/check-scan-auth-session.js</x:v>
      </x:c>
      <x:c r="K7" s="9" t="str">
        <x:v>Feature exists behind flags but is intentionally disabled by default.</x:v>
      </x:c>
      <x:c r="L7" s="9" t="str"/>
      <x:c r="M7" s="9" t="str"/>
      <x:c r="N7" s="9" t="str"/>
      <x:c r="O7" s="9" t="str">
        <x:v>Do not treat as shipped until both frontend and backend flags are re-enabled and staged.</x:v>
      </x:c>
    </x:row>
    <x:row r="8" ht="43.5" customHeight="1">
      <x:c r="A8" s="9" t="str">
        <x:v>Map creation and editing</x:v>
      </x:c>
      <x:c r="B8" s="9" t="str">
        <x:v>Blank/manual map creation</x:v>
      </x:c>
      <x:c r="C8" s="9" t="str">
        <x:v>Create a map manually without starting from a crawl.</x:v>
      </x:c>
      <x:c r="D8" s="9" t="str">
        <x:v>Complete</x:v>
      </x:c>
      <x:c r="E8" s="9" t="str">
        <x:v>P1</x:v>
      </x:c>
      <x:c r="F8" s="9" t="str">
        <x:v>Done</x:v>
      </x:c>
      <x:c r="G8" s="9" t="str">
        <x:v>Low</x:v>
      </x:c>
      <x:c r="H8" s="9" t="str">
        <x:v>Current product</x:v>
      </x:c>
      <x:c r="I8" s="9" t="str"/>
      <x:c r="J8" s="9" t="str">
        <x:v>frontend/src/components/modals/CreateMapModal.js; frontend/src/components/modals/CreateMapModal.test.js</x:v>
      </x:c>
      <x:c r="K8" s="9" t="str">
        <x:v>Create map modal and tests exist.</x:v>
      </x:c>
      <x:c r="L8" s="9" t="str"/>
      <x:c r="M8" s="9" t="str"/>
      <x:c r="N8" s="9" t="str"/>
      <x:c r="O8" s="9" t="str"/>
    </x:row>
    <x:row r="9" ht="43.5" customHeight="1">
      <x:c r="A9" s="9" t="str">
        <x:v>Map creation and editing</x:v>
      </x:c>
      <x:c r="B9" s="9" t="str">
        <x:v>Map import</x:v>
      </x:c>
      <x:c r="C9" s="9" t="str">
        <x:v>Import supported sitemap/map data into the workspace.</x:v>
      </x:c>
      <x:c r="D9" s="9" t="str">
        <x:v>Complete</x:v>
      </x:c>
      <x:c r="E9" s="9" t="str">
        <x:v>P1</x:v>
      </x:c>
      <x:c r="F9" s="9" t="str">
        <x:v>Done</x:v>
      </x:c>
      <x:c r="G9" s="9" t="str">
        <x:v>Medium</x:v>
      </x:c>
      <x:c r="H9" s="9" t="str">
        <x:v>Current product</x:v>
      </x:c>
      <x:c r="I9" s="9" t="str">
        <x:v>Import parser support</x:v>
      </x:c>
      <x:c r="J9" s="9" t="str">
        <x:v>frontend/src/components/modals/ImportModal.js; frontend/src/marketing/marketingConfig.js</x:v>
      </x:c>
      <x:c r="K9" s="9" t="str">
        <x:v>Import modal exists and marketing copy says maps can be imported.</x:v>
      </x:c>
      <x:c r="L9" s="9" t="str"/>
      <x:c r="M9" s="9" t="str"/>
      <x:c r="N9" s="9" t="str"/>
      <x:c r="O9" s="9" t="str">
        <x:v>Future versions may need clearer import-format inventory.</x:v>
      </x:c>
    </x:row>
    <x:row r="10" ht="43.5" customHeight="1">
      <x:c r="A10" s="9" t="str">
        <x:v>Map creation and editing</x:v>
      </x:c>
      <x:c r="B10" s="9" t="str">
        <x:v>Structure editing</x:v>
      </x:c>
      <x:c r="C10" s="9" t="str">
        <x:v>Move, rename, organize, tag, and annotate pages after a scan or import.</x:v>
      </x:c>
      <x:c r="D10" s="9" t="str">
        <x:v>Complete</x:v>
      </x:c>
      <x:c r="E10" s="9" t="str">
        <x:v>P0</x:v>
      </x:c>
      <x:c r="F10" s="9" t="str">
        <x:v>Done</x:v>
      </x:c>
      <x:c r="G10" s="9" t="str">
        <x:v>Low</x:v>
      </x:c>
      <x:c r="H10" s="9" t="str">
        <x:v>Current product</x:v>
      </x:c>
      <x:c r="I10" s="9" t="str">
        <x:v>Canvas tree data</x:v>
      </x:c>
      <x:c r="J10" s="9" t="str">
        <x:v>frontend/src/components/nodes/NodeActionBar.js; frontend/src/components/modals/EditNodeModal.js; frontend/src/marketing/marketingConfig.js</x:v>
      </x:c>
      <x:c r="K10" s="9" t="str">
        <x:v>Node action/edit components exist and marketing copy describes structure editing.</x:v>
      </x:c>
      <x:c r="L10" s="9" t="str"/>
      <x:c r="M10" s="9" t="str"/>
      <x:c r="N10" s="9" t="str"/>
      <x:c r="O10" s="9" t="str"/>
    </x:row>
    <x:row r="11" ht="43.5" customHeight="1">
      <x:c r="A11" s="9" t="str">
        <x:v>Map creation and editing</x:v>
      </x:c>
      <x:c r="B11" s="9" t="str">
        <x:v>Duplicate node/page workflow</x:v>
      </x:c>
      <x:c r="C11" s="9" t="str">
        <x:v>Duplicate existing map nodes while preserving placement context.</x:v>
      </x:c>
      <x:c r="D11" s="9" t="str">
        <x:v>Complete</x:v>
      </x:c>
      <x:c r="E11" s="9" t="str">
        <x:v>P2</x:v>
      </x:c>
      <x:c r="F11" s="9" t="str">
        <x:v>Done</x:v>
      </x:c>
      <x:c r="G11" s="9" t="str">
        <x:v>Low</x:v>
      </x:c>
      <x:c r="H11" s="9" t="str">
        <x:v>Current product</x:v>
      </x:c>
      <x:c r="I11" s="9" t="str">
        <x:v>Node action surface</x:v>
      </x:c>
      <x:c r="J11" s="9" t="str">
        <x:v>frontend/src/components/nodes/NodeActionBar.js; frontend/src/App.largeMap.test.js</x:v>
      </x:c>
      <x:c r="K11" s="9" t="str">
        <x:v>Node actions and large-map duplicate behavior tests exist.</x:v>
      </x:c>
      <x:c r="L11" s="9" t="str"/>
      <x:c r="M11" s="9" t="str"/>
      <x:c r="N11" s="9" t="str"/>
      <x:c r="O11" s="9" t="str"/>
    </x:row>
    <x:row r="12" ht="43.5" customHeight="1">
      <x:c r="A12" s="9" t="str">
        <x:v>Map creation and editing</x:v>
      </x:c>
      <x:c r="B12" s="9" t="str">
        <x:v>Color coding and legend</x:v>
      </x:c>
      <x:c r="C12" s="9" t="str">
        <x:v>Use page colors and a color key to label map meaning.</x:v>
      </x:c>
      <x:c r="D12" s="9" t="str">
        <x:v>Complete</x:v>
      </x:c>
      <x:c r="E12" s="9" t="str">
        <x:v>P2</x:v>
      </x:c>
      <x:c r="F12" s="9" t="str">
        <x:v>Done</x:v>
      </x:c>
      <x:c r="G12" s="9" t="str">
        <x:v>Low</x:v>
      </x:c>
      <x:c r="H12" s="9" t="str">
        <x:v>Current product</x:v>
      </x:c>
      <x:c r="I12" s="9" t="str">
        <x:v>Canvas styling</x:v>
      </x:c>
      <x:c r="J12" s="9" t="str">
        <x:v>frontend/src/components/toolbar/ColorKey.js; frontend/src/components/modals/EditColorModal.js; frontend/src/components/toolbar/ColorKey.test.js</x:v>
      </x:c>
      <x:c r="K12" s="9" t="str">
        <x:v>Color key and color edit modal exist with tests.</x:v>
      </x:c>
      <x:c r="L12" s="9" t="str"/>
      <x:c r="M12" s="9" t="str"/>
      <x:c r="N12" s="9" t="str"/>
      <x:c r="O12" s="9" t="str"/>
    </x:row>
    <x:row r="13" ht="43.5" customHeight="1">
      <x:c r="A13" s="9" t="str">
        <x:v>Map creation and editing</x:v>
      </x:c>
      <x:c r="B13" s="9" t="str">
        <x:v>Large-map layout and performance support</x:v>
      </x:c>
      <x:c r="C13" s="9" t="str">
        <x:v>Keep large maps navigable and performant through dedicated layout/performance paths.</x:v>
      </x:c>
      <x:c r="D13" s="9" t="str">
        <x:v>Complete</x:v>
      </x:c>
      <x:c r="E13" s="9" t="str">
        <x:v>P1</x:v>
      </x:c>
      <x:c r="F13" s="9" t="str">
        <x:v>Done</x:v>
      </x:c>
      <x:c r="G13" s="9" t="str">
        <x:v>Medium</x:v>
      </x:c>
      <x:c r="H13" s="9" t="str">
        <x:v>Current product</x:v>
      </x:c>
      <x:c r="I13" s="9" t="str">
        <x:v>Canvas layout engine</x:v>
      </x:c>
      <x:c r="J13" s="9" t="str">
        <x:v>frontend/src/App.largeMap.test.js; frontend/src/utils/largeMapPerformance.test.js; utils/mapScene.js</x:v>
      </x:c>
      <x:c r="K13" s="9" t="str">
        <x:v>Large-map tests and scene utilities exist.</x:v>
      </x:c>
      <x:c r="L13" s="9" t="str"/>
      <x:c r="M13" s="9" t="str"/>
      <x:c r="N13" s="9" t="str"/>
      <x:c r="O13" s="9" t="str"/>
    </x:row>
    <x:row r="14" ht="43.5" customHeight="1">
      <x:c r="A14" s="9" t="str">
        <x:v>Map creation and editing</x:v>
      </x:c>
      <x:c r="B14" s="9" t="str">
        <x:v>Minimap/viewfinder navigation</x:v>
      </x:c>
      <x:c r="C14" s="9" t="str">
        <x:v>Provide a minimap or viewfinder for navigating larger visual maps.</x:v>
      </x:c>
      <x:c r="D14" s="9" t="str">
        <x:v>Complete</x:v>
      </x:c>
      <x:c r="E14" s="9" t="str">
        <x:v>P1</x:v>
      </x:c>
      <x:c r="F14" s="9" t="str">
        <x:v>Done</x:v>
      </x:c>
      <x:c r="G14" s="9" t="str">
        <x:v>Medium</x:v>
      </x:c>
      <x:c r="H14" s="9" t="str">
        <x:v>Current product</x:v>
      </x:c>
      <x:c r="I14" s="9" t="str">
        <x:v>Canvas viewport state</x:v>
      </x:c>
      <x:c r="J14" s="9" t="str">
        <x:v>frontend/src/components/minimap/MinimapNavigator.jsx; frontend/src/components/minimap/MinimapNavigator.test.js; frontend/src/components/toolbar/Minimap.js</x:v>
      </x:c>
      <x:c r="K14" s="9" t="str">
        <x:v>Minimap navigator and tests exist.</x:v>
      </x:c>
      <x:c r="L14" s="9" t="str"/>
      <x:c r="M14" s="9" t="str"/>
      <x:c r="N14" s="9" t="str"/>
      <x:c r="O14" s="9" t="str"/>
    </x:row>
    <x:row r="15" ht="43.5" customHeight="1">
      <x:c r="A15" s="9" t="str">
        <x:v>Images and capture</x:v>
      </x:c>
      <x:c r="B15" s="9" t="str">
        <x:v>Page thumbnail capture</x:v>
      </x:c>
      <x:c r="C15" s="9" t="str">
        <x:v>Capture and display thumbnail images on node cards.</x:v>
      </x:c>
      <x:c r="D15" s="9" t="str">
        <x:v>Complete</x:v>
      </x:c>
      <x:c r="E15" s="9" t="str">
        <x:v>P1</x:v>
      </x:c>
      <x:c r="F15" s="9" t="str">
        <x:v>Done</x:v>
      </x:c>
      <x:c r="G15" s="9" t="str">
        <x:v>Medium</x:v>
      </x:c>
      <x:c r="H15" s="9" t="str">
        <x:v>Current product</x:v>
      </x:c>
      <x:c r="I15" s="9" t="str">
        <x:v>Screenshot worker/job pipeline</x:v>
      </x:c>
      <x:c r="J15" s="9" t="str">
        <x:v>docs/screenshot-pipeline-hardening.md; frontend/src/components/nodes/NodeCard.js; scripts/check-image-capture-job-smoke.js</x:v>
      </x:c>
      <x:c r="K15" s="9" t="str">
        <x:v>Screenshot docs describe thumbnails and job smoke check exists.</x:v>
      </x:c>
      <x:c r="L15" s="9" t="str"/>
      <x:c r="M15" s="9" t="str"/>
      <x:c r="N15" s="9" t="str"/>
      <x:c r="O15" s="9" t="str"/>
    </x:row>
    <x:row r="16" ht="43.5" customHeight="1">
      <x:c r="A16" s="9" t="str">
        <x:v>Images and capture</x:v>
      </x:c>
      <x:c r="B16" s="9" t="str">
        <x:v>Full-page screenshot capture</x:v>
      </x:c>
      <x:c r="C16" s="9" t="str">
        <x:v>Capture full-page screenshots for page review and lightbox/download use.</x:v>
      </x:c>
      <x:c r="D16" s="9" t="str">
        <x:v>Complete</x:v>
      </x:c>
      <x:c r="E16" s="9" t="str">
        <x:v>P1</x:v>
      </x:c>
      <x:c r="F16" s="9" t="str">
        <x:v>Done</x:v>
      </x:c>
      <x:c r="G16" s="9" t="str">
        <x:v>Medium</x:v>
      </x:c>
      <x:c r="H16" s="9" t="str">
        <x:v>Current product</x:v>
      </x:c>
      <x:c r="I16" s="9" t="str">
        <x:v>Screenshot worker/job pipeline</x:v>
      </x:c>
      <x:c r="J16" s="9" t="str">
        <x:v>docs/screenshot-pipeline-hardening.md; frontend/src/components/modals/ImageOverlay.js</x:v>
      </x:c>
      <x:c r="K16" s="9" t="str">
        <x:v>Docs describe full screenshot jobs and overlay component exists.</x:v>
      </x:c>
      <x:c r="L16" s="9" t="str"/>
      <x:c r="M16" s="9" t="str"/>
      <x:c r="N16" s="9" t="str"/>
      <x:c r="O16" s="9" t="str"/>
    </x:row>
    <x:row r="17" ht="43.5" customHeight="1">
      <x:c r="A17" s="9" t="str">
        <x:v>Images and capture</x:v>
      </x:c>
      <x:c r="B17" s="9" t="str">
        <x:v>Screenshot safety limits and cleanup</x:v>
      </x:c>
      <x:c r="C17" s="9" t="str">
        <x:v>Bound screenshot size, timeout, cache TTL, stale cleanup, and job ownership.</x:v>
      </x:c>
      <x:c r="D17" s="9" t="str">
        <x:v>Complete</x:v>
      </x:c>
      <x:c r="E17" s="9" t="str">
        <x:v>P1</x:v>
      </x:c>
      <x:c r="F17" s="9" t="str">
        <x:v>Done</x:v>
      </x:c>
      <x:c r="G17" s="9" t="str">
        <x:v>Medium</x:v>
      </x:c>
      <x:c r="H17" s="9" t="str">
        <x:v>Current product</x:v>
      </x:c>
      <x:c r="I17" s="9" t="str">
        <x:v>Worker/runtime configuration</x:v>
      </x:c>
      <x:c r="J17" s="9" t="str">
        <x:v>docs/screenshot-pipeline-hardening.md; README.md</x:v>
      </x:c>
      <x:c r="K17" s="9" t="str">
        <x:v>Docs list capture limits, cache TTL, cleanup, scoped job endpoints, R2 config, and worker split.</x:v>
      </x:c>
      <x:c r="L17" s="9" t="str"/>
      <x:c r="M17" s="9" t="str"/>
      <x:c r="N17" s="9" t="str"/>
      <x:c r="O17" s="9" t="str"/>
    </x:row>
    <x:row r="18" ht="43.5" customHeight="1">
      <x:c r="A18" s="9" t="str">
        <x:v>Images and capture</x:v>
      </x:c>
      <x:c r="B18" s="9" t="str">
        <x:v>Capture issues panel</x:v>
      </x:c>
      <x:c r="C18" s="9" t="str">
        <x:v>Show capture issues so users can review failed or blocked page image captures.</x:v>
      </x:c>
      <x:c r="D18" s="9" t="str">
        <x:v>Complete</x:v>
      </x:c>
      <x:c r="E18" s="9" t="str">
        <x:v>P2</x:v>
      </x:c>
      <x:c r="F18" s="9" t="str">
        <x:v>Done</x:v>
      </x:c>
      <x:c r="G18" s="9" t="str">
        <x:v>Low</x:v>
      </x:c>
      <x:c r="H18" s="9" t="str">
        <x:v>Current product</x:v>
      </x:c>
      <x:c r="I18" s="9" t="str">
        <x:v>Capture issue tracking</x:v>
      </x:c>
      <x:c r="J18" s="9" t="str">
        <x:v>frontend/src/components/toolbar/CaptureIssuesPanel.js; frontend/src/utils/captureIssues.js; frontend/src/utils/captureIssues.test.js</x:v>
      </x:c>
      <x:c r="K18" s="9" t="str">
        <x:v>Capture issues utility, panel, and tests exist.</x:v>
      </x:c>
      <x:c r="L18" s="9" t="str"/>
      <x:c r="M18" s="9" t="str"/>
      <x:c r="N18" s="9" t="str"/>
      <x:c r="O18" s="9" t="str"/>
    </x:row>
    <x:row r="19" ht="43.5" customHeight="1">
      <x:c r="A19" s="9" t="str">
        <x:v>Images and capture</x:v>
      </x:c>
      <x:c r="B19" s="9" t="str">
        <x:v>Download screenshot batches</x:v>
      </x:c>
      <x:c r="C19" s="9" t="str">
        <x:v>Download selected/all thumbnails and selected/all full screenshots.</x:v>
      </x:c>
      <x:c r="D19" s="9" t="str">
        <x:v>Planned</x:v>
      </x:c>
      <x:c r="E19" s="9" t="str">
        <x:v>P2</x:v>
      </x:c>
      <x:c r="F19" s="9" t="str">
        <x:v>M</x:v>
      </x:c>
      <x:c r="G19" s="9" t="str">
        <x:v>Medium</x:v>
      </x:c>
      <x:c r="H19" s="9" t="str">
        <x:v>Phase 9G</x:v>
      </x:c>
      <x:c r="I19" s="9" t="str">
        <x:v>Stable screenshot asset persistence</x:v>
      </x:c>
      <x:c r="J19" s="9" t="str">
        <x:v>docs/screenshot-pipeline-hardening.md</x:v>
      </x:c>
      <x:c r="K19" s="9" t="str">
        <x:v>Docs list Phase 9G download controls as next asset lifecycle controls.</x:v>
      </x:c>
      <x:c r="L19" s="9" t="str"/>
      <x:c r="M19" s="9" t="str"/>
      <x:c r="N19" s="9" t="str"/>
      <x:c r="O19" s="9" t="str"/>
    </x:row>
    <x:row r="20" ht="43.5" customHeight="1">
      <x:c r="A20" s="9" t="str">
        <x:v>Images and capture</x:v>
      </x:c>
      <x:c r="B20" s="9" t="str">
        <x:v>Remove/rescan screenshot assets</x:v>
      </x:c>
      <x:c r="C20" s="9" t="str">
        <x:v>Remove and rescan thumbnail/full screenshot assets safely.</x:v>
      </x:c>
      <x:c r="D20" s="9" t="str">
        <x:v>Future</x:v>
      </x:c>
      <x:c r="E20" s="9" t="str">
        <x:v>P3</x:v>
      </x:c>
      <x:c r="F20" s="9" t="str">
        <x:v>M</x:v>
      </x:c>
      <x:c r="G20" s="9" t="str">
        <x:v>High</x:v>
      </x:c>
      <x:c r="H20" s="9" t="str">
        <x:v>Future asset lifecycle</x:v>
      </x:c>
      <x:c r="I20" s="9" t="str">
        <x:v>Trusted backend asset model and file reclamation</x:v>
      </x:c>
      <x:c r="J20" s="9" t="str">
        <x:v>docs/screenshot-pipeline-hardening.md</x:v>
      </x:c>
      <x:c r="K20" s="9" t="str">
        <x:v>Docs defer remove, rescan, and file reclamation until after testing.</x:v>
      </x:c>
      <x:c r="L20" s="9" t="str"/>
      <x:c r="M20" s="9" t="str"/>
      <x:c r="N20" s="9" t="str"/>
      <x:c r="O20" s="9" t="str"/>
    </x:row>
    <x:row r="21" ht="43.5" customHeight="1">
      <x:c r="A21" s="9" t="str">
        <x:v>Reports and exports</x:v>
      </x:c>
      <x:c r="B21" s="9" t="str">
        <x:v>Report drawer</x:v>
      </x:c>
      <x:c r="C21" s="9" t="str">
        <x:v>Show a structured report with stats, filters, search, sorting, and page rows.</x:v>
      </x:c>
      <x:c r="D21" s="9" t="str">
        <x:v>Complete</x:v>
      </x:c>
      <x:c r="E21" s="9" t="str">
        <x:v>P1</x:v>
      </x:c>
      <x:c r="F21" s="9" t="str">
        <x:v>Done</x:v>
      </x:c>
      <x:c r="G21" s="9" t="str">
        <x:v>Low</x:v>
      </x:c>
      <x:c r="H21" s="9" t="str">
        <x:v>Current product</x:v>
      </x:c>
      <x:c r="I21" s="9" t="str">
        <x:v>Scan classification output</x:v>
      </x:c>
      <x:c r="J21" s="9" t="str">
        <x:v>frontend/src/components/reports/ReportDrawer.js; frontend/src/components/reports/ReportDrawer.test.js</x:v>
      </x:c>
      <x:c r="K21" s="9" t="str">
        <x:v>Report drawer and tests exist.</x:v>
      </x:c>
      <x:c r="L21" s="9" t="str"/>
      <x:c r="M21" s="9" t="str"/>
      <x:c r="N21" s="9" t="str"/>
      <x:c r="O21" s="9" t="str"/>
    </x:row>
    <x:row r="22" ht="43.5" customHeight="1">
      <x:c r="A22" s="9" t="str">
        <x:v>Reports and exports</x:v>
      </x:c>
      <x:c r="B22" s="9" t="str">
        <x:v>Insights tab and page scoring</x:v>
      </x:c>
      <x:c r="C22" s="9" t="str">
        <x:v>Surface IA, SEO, technical, content, and accessibility-hint findings with severity.</x:v>
      </x:c>
      <x:c r="D22" s="9" t="str">
        <x:v>Complete</x:v>
      </x:c>
      <x:c r="E22" s="9" t="str">
        <x:v>P1</x:v>
      </x:c>
      <x:c r="F22" s="9" t="str">
        <x:v>Done</x:v>
      </x:c>
      <x:c r="G22" s="9" t="str">
        <x:v>Medium</x:v>
      </x:c>
      <x:c r="H22" s="9" t="str">
        <x:v>Current product</x:v>
      </x:c>
      <x:c r="I22" s="9" t="str">
        <x:v>Report/insights data</x:v>
      </x:c>
      <x:c r="J22" s="9" t="str">
        <x:v>frontend/src/components/reports/ReportDrawer.js; frontend/src/components/reports/ReportDrawer.test.js</x:v>
      </x:c>
      <x:c r="K22" s="9" t="str">
        <x:v>Report drawer defines insight categories/severity and tests cover completed insights/page score rows.</x:v>
      </x:c>
      <x:c r="L22" s="9" t="str"/>
      <x:c r="M22" s="9" t="str"/>
      <x:c r="N22" s="9" t="str"/>
      <x:c r="O22" s="9" t="str">
        <x:v>Map Insights stays within Features for V1 marketing, not a top-level route.</x:v>
      </x:c>
    </x:row>
    <x:row r="23" ht="43.5" customHeight="1">
      <x:c r="A23" s="9" t="str">
        <x:v>Reports and exports</x:v>
      </x:c>
      <x:c r="B23" s="9" t="str">
        <x:v>PNG export</x:v>
      </x:c>
      <x:c r="C23" s="9" t="str">
        <x:v>Export the visual sitemap as an image.</x:v>
      </x:c>
      <x:c r="D23" s="9" t="str">
        <x:v>Complete</x:v>
      </x:c>
      <x:c r="E23" s="9" t="str">
        <x:v>P1</x:v>
      </x:c>
      <x:c r="F23" s="9" t="str">
        <x:v>Done</x:v>
      </x:c>
      <x:c r="G23" s="9" t="str">
        <x:v>Low</x:v>
      </x:c>
      <x:c r="H23" s="9" t="str">
        <x:v>Current product</x:v>
      </x:c>
      <x:c r="I23" s="9" t="str">
        <x:v>Canvas export path</x:v>
      </x:c>
      <x:c r="J23" s="9" t="str">
        <x:v>README.md; frontend/src/components/modals/ExportModal.js</x:v>
      </x:c>
      <x:c r="K23" s="9" t="str">
        <x:v>README lists PNG export and ExportModal exposes PNG Image.</x:v>
      </x:c>
      <x:c r="L23" s="9" t="str"/>
      <x:c r="M23" s="9" t="str"/>
      <x:c r="N23" s="9" t="str"/>
      <x:c r="O23" s="9" t="str"/>
    </x:row>
    <x:row r="24" ht="43.5" customHeight="1">
      <x:c r="A24" s="9" t="str">
        <x:v>Reports and exports</x:v>
      </x:c>
      <x:c r="B24" s="9" t="str">
        <x:v>PDF export</x:v>
      </x:c>
      <x:c r="C24" s="9" t="str">
        <x:v>Export a printable PDF report.</x:v>
      </x:c>
      <x:c r="D24" s="9" t="str">
        <x:v>Complete</x:v>
      </x:c>
      <x:c r="E24" s="9" t="str">
        <x:v>P1</x:v>
      </x:c>
      <x:c r="F24" s="9" t="str">
        <x:v>Done</x:v>
      </x:c>
      <x:c r="G24" s="9" t="str">
        <x:v>Low</x:v>
      </x:c>
      <x:c r="H24" s="9" t="str">
        <x:v>Current product</x:v>
      </x:c>
      <x:c r="I24" s="9" t="str">
        <x:v>Report export path</x:v>
      </x:c>
      <x:c r="J24" s="9" t="str">
        <x:v>README.md; frontend/src/components/modals/ExportModal.js</x:v>
      </x:c>
      <x:c r="K24" s="9" t="str">
        <x:v>README lists PDF export and ExportModal exposes PDF Document.</x:v>
      </x:c>
      <x:c r="L24" s="9" t="str"/>
      <x:c r="M24" s="9" t="str"/>
      <x:c r="N24" s="9" t="str"/>
      <x:c r="O24" s="9" t="str"/>
    </x:row>
    <x:row r="25" ht="43.5" customHeight="1">
      <x:c r="A25" s="9" t="str">
        <x:v>Reports and exports</x:v>
      </x:c>
      <x:c r="B25" s="9" t="str">
        <x:v>CSV export</x:v>
      </x:c>
      <x:c r="C25" s="9" t="str">
        <x:v>Export page data to CSV for spreadsheets.</x:v>
      </x:c>
      <x:c r="D25" s="9" t="str">
        <x:v>Complete</x:v>
      </x:c>
      <x:c r="E25" s="9" t="str">
        <x:v>P1</x:v>
      </x:c>
      <x:c r="F25" s="9" t="str">
        <x:v>Done</x:v>
      </x:c>
      <x:c r="G25" s="9" t="str">
        <x:v>Low</x:v>
      </x:c>
      <x:c r="H25" s="9" t="str">
        <x:v>Current product</x:v>
      </x:c>
      <x:c r="I25" s="9" t="str">
        <x:v>Page data extraction</x:v>
      </x:c>
      <x:c r="J25" s="9" t="str">
        <x:v>frontend/src/components/modals/ExportModal.js</x:v>
      </x:c>
      <x:c r="K25" s="9" t="str">
        <x:v>ExportModal exposes CSV Spreadsheet.</x:v>
      </x:c>
      <x:c r="L25" s="9" t="str"/>
      <x:c r="M25" s="9" t="str"/>
      <x:c r="N25" s="9" t="str"/>
      <x:c r="O25" s="9" t="str"/>
    </x:row>
    <x:row r="26" ht="43.5" customHeight="1">
      <x:c r="A26" s="9" t="str">
        <x:v>Reports and exports</x:v>
      </x:c>
      <x:c r="B26" s="9" t="str">
        <x:v>JSON export</x:v>
      </x:c>
      <x:c r="C26" s="9" t="str">
        <x:v>Export raw map/page data for backup or import-style workflows.</x:v>
      </x:c>
      <x:c r="D26" s="9" t="str">
        <x:v>Complete</x:v>
      </x:c>
      <x:c r="E26" s="9" t="str">
        <x:v>P2</x:v>
      </x:c>
      <x:c r="F26" s="9" t="str">
        <x:v>Done</x:v>
      </x:c>
      <x:c r="G26" s="9" t="str">
        <x:v>Low</x:v>
      </x:c>
      <x:c r="H26" s="9" t="str">
        <x:v>Current product</x:v>
      </x:c>
      <x:c r="I26" s="9" t="str">
        <x:v>Map data serialization</x:v>
      </x:c>
      <x:c r="J26" s="9" t="str">
        <x:v>frontend/src/components/modals/ExportModal.js</x:v>
      </x:c>
      <x:c r="K26" s="9" t="str">
        <x:v>ExportModal exposes JSON Data.</x:v>
      </x:c>
      <x:c r="L26" s="9" t="str"/>
      <x:c r="M26" s="9" t="str"/>
      <x:c r="N26" s="9" t="str"/>
      <x:c r="O26" s="9" t="str"/>
    </x:row>
    <x:row r="27" ht="43.5" customHeight="1">
      <x:c r="A27" s="9" t="str">
        <x:v>Reports and exports</x:v>
      </x:c>
      <x:c r="B27" s="9" t="str">
        <x:v>Site Index export</x:v>
      </x:c>
      <x:c r="C27" s="9" t="str">
        <x:v>Export a page-list document for Word or Google Docs style handoff.</x:v>
      </x:c>
      <x:c r="D27" s="9" t="str">
        <x:v>Complete</x:v>
      </x:c>
      <x:c r="E27" s="9" t="str">
        <x:v>P2</x:v>
      </x:c>
      <x:c r="F27" s="9" t="str">
        <x:v>Done</x:v>
      </x:c>
      <x:c r="G27" s="9" t="str">
        <x:v>Low</x:v>
      </x:c>
      <x:c r="H27" s="9" t="str">
        <x:v>Current product</x:v>
      </x:c>
      <x:c r="I27" s="9" t="str">
        <x:v>Page list generation</x:v>
      </x:c>
      <x:c r="J27" s="9" t="str">
        <x:v>frontend/src/components/modals/ExportModal.js</x:v>
      </x:c>
      <x:c r="K27" s="9" t="str">
        <x:v>ExportModal exposes Site Index.</x:v>
      </x:c>
      <x:c r="L27" s="9" t="str"/>
      <x:c r="M27" s="9" t="str"/>
      <x:c r="N27" s="9" t="str"/>
      <x:c r="O27" s="9" t="str"/>
    </x:row>
    <x:row r="28" ht="43.5" customHeight="1">
      <x:c r="A28" s="9" t="str">
        <x:v>Reports and exports</x:v>
      </x:c>
      <x:c r="B28" s="9" t="str">
        <x:v>AI Site Brief export</x:v>
      </x:c>
      <x:c r="C28" s="9" t="str">
        <x:v>Export a site-building brief for AI code tools.</x:v>
      </x:c>
      <x:c r="D28" s="9" t="str">
        <x:v>Complete</x:v>
      </x:c>
      <x:c r="E28" s="9" t="str">
        <x:v>P2</x:v>
      </x:c>
      <x:c r="F28" s="9" t="str">
        <x:v>Done</x:v>
      </x:c>
      <x:c r="G28" s="9" t="str">
        <x:v>Medium</x:v>
      </x:c>
      <x:c r="H28" s="9" t="str">
        <x:v>Current product</x:v>
      </x:c>
      <x:c r="I28" s="9" t="str">
        <x:v>Map summary generation</x:v>
      </x:c>
      <x:c r="J28" s="9" t="str">
        <x:v>frontend/src/components/modals/ExportModal.js</x:v>
      </x:c>
      <x:c r="K28" s="9" t="str">
        <x:v>ExportModal exposes AI Site Brief.</x:v>
      </x:c>
      <x:c r="L28" s="9" t="str"/>
      <x:c r="M28" s="9" t="str"/>
      <x:c r="N28" s="9" t="str"/>
      <x:c r="O28" s="9" t="str"/>
    </x:row>
    <x:row r="29" ht="43.5" customHeight="1">
      <x:c r="A29" s="9" t="str">
        <x:v>Saving, projects, and versions</x:v>
      </x:c>
      <x:c r="B29" s="9" t="str">
        <x:v>Saved maps</x:v>
      </x:c>
      <x:c r="C29" s="9" t="str">
        <x:v>Save maps for authenticated users and reopen them later.</x:v>
      </x:c>
      <x:c r="D29" s="9" t="str">
        <x:v>Complete</x:v>
      </x:c>
      <x:c r="E29" s="9" t="str">
        <x:v>P0</x:v>
      </x:c>
      <x:c r="F29" s="9" t="str">
        <x:v>Done</x:v>
      </x:c>
      <x:c r="G29" s="9" t="str">
        <x:v>Low</x:v>
      </x:c>
      <x:c r="H29" s="9" t="str">
        <x:v>Current product</x:v>
      </x:c>
      <x:c r="I29" s="9" t="str">
        <x:v>Authentication and map storage</x:v>
      </x:c>
      <x:c r="J29" s="9" t="str">
        <x:v>README.md; frontend/src/components/modals/SaveMapModal.js; server.js</x:v>
      </x:c>
      <x:c r="K29" s="9" t="str">
        <x:v>README lists saved maps; save modal and backend map routes exist.</x:v>
      </x:c>
      <x:c r="L29" s="9" t="str"/>
      <x:c r="M29" s="9" t="str"/>
      <x:c r="N29" s="9" t="str"/>
      <x:c r="O29" s="9" t="str"/>
    </x:row>
    <x:row r="30" ht="43.5" customHeight="1">
      <x:c r="A30" s="9" t="str">
        <x:v>Saving, projects, and versions</x:v>
      </x:c>
      <x:c r="B30" s="9" t="str">
        <x:v>Projects</x:v>
      </x:c>
      <x:c r="C30" s="9" t="str">
        <x:v>Organize saved maps into projects.</x:v>
      </x:c>
      <x:c r="D30" s="9" t="str">
        <x:v>Complete</x:v>
      </x:c>
      <x:c r="E30" s="9" t="str">
        <x:v>P1</x:v>
      </x:c>
      <x:c r="F30" s="9" t="str">
        <x:v>Done</x:v>
      </x:c>
      <x:c r="G30" s="9" t="str">
        <x:v>Low</x:v>
      </x:c>
      <x:c r="H30" s="9" t="str">
        <x:v>Current product</x:v>
      </x:c>
      <x:c r="I30" s="9" t="str">
        <x:v>Saved maps</x:v>
      </x:c>
      <x:c r="J30" s="9" t="str">
        <x:v>README.md; frontend/src/components/modals/ProjectsModal.js; frontend/src/components/modals/ProjectsModal.test.js</x:v>
      </x:c>
      <x:c r="K30" s="9" t="str">
        <x:v>README lists projects; ProjectsModal and tests exist.</x:v>
      </x:c>
      <x:c r="L30" s="9" t="str"/>
      <x:c r="M30" s="9" t="str"/>
      <x:c r="N30" s="9" t="str"/>
      <x:c r="O30" s="9" t="str"/>
    </x:row>
    <x:row r="31" ht="43.5" customHeight="1">
      <x:c r="A31" s="9" t="str">
        <x:v>Saving, projects, and versions</x:v>
      </x:c>
      <x:c r="B31" s="9" t="str">
        <x:v>Autosave/save flow</x:v>
      </x:c>
      <x:c r="C31" s="9" t="str">
        <x:v>Persist map changes through the save/autosave path.</x:v>
      </x:c>
      <x:c r="D31" s="9" t="str">
        <x:v>Complete</x:v>
      </x:c>
      <x:c r="E31" s="9" t="str">
        <x:v>P0</x:v>
      </x:c>
      <x:c r="F31" s="9" t="str">
        <x:v>Done</x:v>
      </x:c>
      <x:c r="G31" s="9" t="str">
        <x:v>Medium</x:v>
      </x:c>
      <x:c r="H31" s="9" t="str">
        <x:v>Current product</x:v>
      </x:c>
      <x:c r="I31" s="9" t="str">
        <x:v>Map storage</x:v>
      </x:c>
      <x:c r="J31" s="9" t="str">
        <x:v>frontend/src/App.js; frontend/src/components/modals/SaveMapModal.test.js</x:v>
      </x:c>
      <x:c r="K31" s="9" t="str">
        <x:v>App contains save/autosave callbacks and SaveMapModal tests exist.</x:v>
      </x:c>
      <x:c r="L31" s="9" t="str"/>
      <x:c r="M31" s="9" t="str"/>
      <x:c r="N31" s="9" t="str"/>
      <x:c r="O31" s="9" t="str"/>
    </x:row>
    <x:row r="32" ht="43.5" customHeight="1">
      <x:c r="A32" s="9" t="str">
        <x:v>Saving, projects, and versions</x:v>
      </x:c>
      <x:c r="B32" s="9" t="str">
        <x:v>Named version saves</x:v>
      </x:c>
      <x:c r="C32" s="9" t="str">
        <x:v>Let owners/editors save named versions of a map.</x:v>
      </x:c>
      <x:c r="D32" s="9" t="str">
        <x:v>Partial</x:v>
      </x:c>
      <x:c r="E32" s="9" t="str">
        <x:v>P1</x:v>
      </x:c>
      <x:c r="F32" s="9" t="str">
        <x:v>M</x:v>
      </x:c>
      <x:c r="G32" s="9" t="str">
        <x:v>Medium</x:v>
      </x:c>
      <x:c r="H32" s="9" t="str">
        <x:v>Collaboration Phase 5</x:v>
      </x:c>
      <x:c r="I32" s="9" t="str">
        <x:v>Version metadata and actor attribution</x:v>
      </x:c>
      <x:c r="J32" s="9" t="str">
        <x:v>docs/collaboration-roadmap.md; frontend/src/components/modals/SaveVersionModal.js; frontend/src/components/modals/SaveVersionModal.test.js</x:v>
      </x:c>
      <x:c r="K32" s="9" t="str">
        <x:v>Roadmap says owners/editors save and name versions is mostly done but needs UI/actor metadata finishing.</x:v>
      </x:c>
      <x:c r="L32" s="9" t="str"/>
      <x:c r="M32" s="9" t="str"/>
      <x:c r="N32" s="9" t="str"/>
      <x:c r="O32" s="9" t="str">
        <x:v>Keep on roadmap until Phase 5 exit criteria are met.</x:v>
      </x:c>
    </x:row>
    <x:row r="33" ht="43.5" customHeight="1">
      <x:c r="A33" s="9" t="str">
        <x:v>Saving, projects, and versions</x:v>
      </x:c>
      <x:c r="B33" s="9" t="str">
        <x:v>Version history browsing</x:v>
      </x:c>
      <x:c r="C33" s="9" t="str">
        <x:v>List and view historical map versions.</x:v>
      </x:c>
      <x:c r="D33" s="9" t="str">
        <x:v>Partial</x:v>
      </x:c>
      <x:c r="E33" s="9" t="str">
        <x:v>P1</x:v>
      </x:c>
      <x:c r="F33" s="9" t="str">
        <x:v>M</x:v>
      </x:c>
      <x:c r="G33" s="9" t="str">
        <x:v>Medium</x:v>
      </x:c>
      <x:c r="H33" s="9" t="str">
        <x:v>Collaboration Phase 5</x:v>
      </x:c>
      <x:c r="I33" s="9" t="str">
        <x:v>Version metadata and role-aware history access</x:v>
      </x:c>
      <x:c r="J33" s="9" t="str">
        <x:v>docs/collaboration-roadmap.md; frontend/src/components/drawers/VersionHistoryDrawer.js; frontend/src/components/drawers/VersionHistoryDrawer.test.js</x:v>
      </x:c>
      <x:c r="K33" s="9" t="str">
        <x:v>Roadmap says version listing works but read-only history is still part of later collaboration work.</x:v>
      </x:c>
      <x:c r="L33" s="9" t="str"/>
      <x:c r="M33" s="9" t="str"/>
      <x:c r="N33" s="9" t="str"/>
      <x:c r="O33" s="9" t="str"/>
    </x:row>
    <x:row r="34" ht="43.5" customHeight="1">
      <x:c r="A34" s="9" t="str">
        <x:v>Auth and access</x:v>
      </x:c>
      <x:c r="B34" s="9" t="str">
        <x:v>Email/password auth</x:v>
      </x:c>
      <x:c r="C34" s="9" t="str">
        <x:v>Support email/password login and signup.</x:v>
      </x:c>
      <x:c r="D34" s="9" t="str">
        <x:v>Complete</x:v>
      </x:c>
      <x:c r="E34" s="9" t="str">
        <x:v>P0</x:v>
      </x:c>
      <x:c r="F34" s="9" t="str">
        <x:v>Done</x:v>
      </x:c>
      <x:c r="G34" s="9" t="str">
        <x:v>Low</x:v>
      </x:c>
      <x:c r="H34" s="9" t="str">
        <x:v>Current product</x:v>
      </x:c>
      <x:c r="I34" s="9" t="str"/>
      <x:c r="J34" s="9" t="str">
        <x:v>README.md; frontend/src/components/modals/AuthModal.js; frontend/src/components/modals/AuthModal.test.js</x:v>
      </x:c>
      <x:c r="K34" s="9" t="str">
        <x:v>README lists authentication; AuthModal and tests exist.</x:v>
      </x:c>
      <x:c r="L34" s="9" t="str"/>
      <x:c r="M34" s="9" t="str"/>
      <x:c r="N34" s="9" t="str"/>
      <x:c r="O34" s="9" t="str"/>
    </x:row>
    <x:row r="35" ht="43.5" customHeight="1">
      <x:c r="A35" s="9" t="str">
        <x:v>Auth and access</x:v>
      </x:c>
      <x:c r="B35" s="9" t="str">
        <x:v>Email verification and password reset</x:v>
      </x:c>
      <x:c r="C35" s="9" t="str">
        <x:v>Handle signup verification and password reset code flows.</x:v>
      </x:c>
      <x:c r="D35" s="9" t="str">
        <x:v>Complete</x:v>
      </x:c>
      <x:c r="E35" s="9" t="str">
        <x:v>P0</x:v>
      </x:c>
      <x:c r="F35" s="9" t="str">
        <x:v>Done</x:v>
      </x:c>
      <x:c r="G35" s="9" t="str">
        <x:v>Medium</x:v>
      </x:c>
      <x:c r="H35" s="9" t="str">
        <x:v>Current product</x:v>
      </x:c>
      <x:c r="I35" s="9" t="str">
        <x:v>Transactional email provider</x:v>
      </x:c>
      <x:c r="J35" s="9" t="str">
        <x:v>README.md; frontend/src/components/modals/AuthModal.js</x:v>
      </x:c>
      <x:c r="K35" s="9" t="str">
        <x:v>README lists verification/reset TTL env vars and auth modal handles auth flows.</x:v>
      </x:c>
      <x:c r="L35" s="9" t="str"/>
      <x:c r="M35" s="9" t="str"/>
      <x:c r="N35" s="9" t="str"/>
      <x:c r="O35" s="9" t="str"/>
    </x:row>
    <x:row r="36" ht="43.5" customHeight="1">
      <x:c r="A36" s="9" t="str">
        <x:v>Auth and access</x:v>
      </x:c>
      <x:c r="B36" s="9" t="str">
        <x:v>Google sign-in</x:v>
      </x:c>
      <x:c r="C36" s="9" t="str">
        <x:v>Support Google OAuth sign-in.</x:v>
      </x:c>
      <x:c r="D36" s="9" t="str">
        <x:v>Complete</x:v>
      </x:c>
      <x:c r="E36" s="9" t="str">
        <x:v>P1</x:v>
      </x:c>
      <x:c r="F36" s="9" t="str">
        <x:v>Done</x:v>
      </x:c>
      <x:c r="G36" s="9" t="str">
        <x:v>Medium</x:v>
      </x:c>
      <x:c r="H36" s="9" t="str">
        <x:v>Current product</x:v>
      </x:c>
      <x:c r="I36" s="9" t="str">
        <x:v>Google OAuth config</x:v>
      </x:c>
      <x:c r="J36" s="9" t="str">
        <x:v>README.md; frontend/src/components/modals/AuthModal.js; frontend/src/components/modals/AuthModal.test.js</x:v>
      </x:c>
      <x:c r="K36" s="9" t="str">
        <x:v>README lists Google sign-in env vars and AuthModal tests cover Google sign-in.</x:v>
      </x:c>
      <x:c r="L36" s="9" t="str"/>
      <x:c r="M36" s="9" t="str"/>
      <x:c r="N36" s="9" t="str"/>
      <x:c r="O36" s="9" t="str"/>
    </x:row>
    <x:row r="37" ht="43.5" customHeight="1">
      <x:c r="A37" s="9" t="str">
        <x:v>Auth and access</x:v>
      </x:c>
      <x:c r="B37" s="9" t="str">
        <x:v>Account/profile/settings surfaces</x:v>
      </x:c>
      <x:c r="C37" s="9" t="str">
        <x:v>Expose account, profile, and settings UI drawers.</x:v>
      </x:c>
      <x:c r="D37" s="9" t="str">
        <x:v>Complete</x:v>
      </x:c>
      <x:c r="E37" s="9" t="str">
        <x:v>P2</x:v>
      </x:c>
      <x:c r="F37" s="9" t="str">
        <x:v>Done</x:v>
      </x:c>
      <x:c r="G37" s="9" t="str">
        <x:v>Low</x:v>
      </x:c>
      <x:c r="H37" s="9" t="str">
        <x:v>Current product</x:v>
      </x:c>
      <x:c r="I37" s="9" t="str">
        <x:v>Logged-in user session</x:v>
      </x:c>
      <x:c r="J37" s="9" t="str">
        <x:v>frontend/src/components/drawers/AccountDrawer.js; frontend/src/components/drawers/ProfileDrawer.js; frontend/src/components/drawers/SettingsDrawer.js</x:v>
      </x:c>
      <x:c r="K37" s="9" t="str">
        <x:v>Account, profile, and settings drawers exist.</x:v>
      </x:c>
      <x:c r="L37" s="9" t="str"/>
      <x:c r="M37" s="9" t="str"/>
      <x:c r="N37" s="9" t="str"/>
      <x:c r="O37" s="9" t="str"/>
    </x:row>
    <x:row r="38" ht="43.5" customHeight="1">
      <x:c r="A38" s="9" t="str">
        <x:v>Auth and access</x:v>
      </x:c>
      <x:c r="B38" s="9" t="str">
        <x:v>Workspace device support gate</x:v>
      </x:c>
      <x:c r="C38" s="9" t="str">
        <x:v>Keep app/admin workspace access to supported desktop/tablet screens while marketing remains accessible.</x:v>
      </x:c>
      <x:c r="D38" s="9" t="str">
        <x:v>Complete</x:v>
      </x:c>
      <x:c r="E38" s="9" t="str">
        <x:v>P1</x:v>
      </x:c>
      <x:c r="F38" s="9" t="str">
        <x:v>Done</x:v>
      </x:c>
      <x:c r="G38" s="9" t="str">
        <x:v>Low</x:v>
      </x:c>
      <x:c r="H38" s="9" t="str">
        <x:v>Current product</x:v>
      </x:c>
      <x:c r="I38" s="9" t="str">
        <x:v>Route classification and viewport detection</x:v>
      </x:c>
      <x:c r="J38" s="9" t="str">
        <x:v>frontend/src/RootApp.js; frontend/src/utils/deviceSupport.test.js; frontend/src/RootApp.test.js</x:v>
      </x:c>
      <x:c r="K38" s="9" t="str">
        <x:v>Root app and device support tests cover route-level support policy.</x:v>
      </x:c>
      <x:c r="L38" s="9" t="str"/>
      <x:c r="M38" s="9" t="str"/>
      <x:c r="N38" s="9" t="str"/>
      <x:c r="O38" s="9" t="str"/>
    </x:row>
    <x:row r="39" ht="43.5" customHeight="1">
      <x:c r="A39" s="9" t="str">
        <x:v>Sharing and collaboration</x:v>
      </x:c>
      <x:c r="B39" s="9" t="str">
        <x:v>Share links with expiration</x:v>
      </x:c>
      <x:c r="C39" s="9" t="str">
        <x:v>Create share links with expiration and access controls.</x:v>
      </x:c>
      <x:c r="D39" s="9" t="str">
        <x:v>Complete</x:v>
      </x:c>
      <x:c r="E39" s="9" t="str">
        <x:v>P0</x:v>
      </x:c>
      <x:c r="F39" s="9" t="str">
        <x:v>Done</x:v>
      </x:c>
      <x:c r="G39" s="9" t="str">
        <x:v>Medium</x:v>
      </x:c>
      <x:c r="H39" s="9" t="str">
        <x:v>Current product</x:v>
      </x:c>
      <x:c r="I39" s="9" t="str">
        <x:v>Saved maps and auth/access model</x:v>
      </x:c>
      <x:c r="J39" s="9" t="str">
        <x:v>README.md; frontend/src/components/modals/ShareModal.js; frontend/src/components/modals/ShareModal.test.js</x:v>
      </x:c>
      <x:c r="K39" s="9" t="str">
        <x:v>README lists share links with expiration; ShareModal and tests exist.</x:v>
      </x:c>
      <x:c r="L39" s="9" t="str"/>
      <x:c r="M39" s="9" t="str"/>
      <x:c r="N39" s="9" t="str"/>
      <x:c r="O39" s="9" t="str"/>
    </x:row>
    <x:row r="40" ht="43.5" customHeight="1">
      <x:c r="A40" s="9" t="str">
        <x:v>Sharing and collaboration</x:v>
      </x:c>
      <x:c r="B40" s="9" t="str">
        <x:v>Viewer/commenter/editor roles</x:v>
      </x:c>
      <x:c r="C40" s="9" t="str">
        <x:v>Allow shared maps to resolve viewer, commenter, editor, and owner behavior.</x:v>
      </x:c>
      <x:c r="D40" s="9" t="str">
        <x:v>Complete</x:v>
      </x:c>
      <x:c r="E40" s="9" t="str">
        <x:v>P0</x:v>
      </x:c>
      <x:c r="F40" s="9" t="str">
        <x:v>Done</x:v>
      </x:c>
      <x:c r="G40" s="9" t="str">
        <x:v>Medium</x:v>
      </x:c>
      <x:c r="H40" s="9" t="str">
        <x:v>Current product</x:v>
      </x:c>
      <x:c r="I40" s="9" t="str">
        <x:v>Share/access model</x:v>
      </x:c>
      <x:c r="J40" s="9" t="str">
        <x:v>docs/collaboration-roadmap.md; frontend/src/components/modals/ShareModal.js; frontend/src/components/routes/MapAccessGate.js</x:v>
      </x:c>
      <x:c r="K40" s="9" t="str">
        <x:v>Roadmap baseline says viewer/commenter can open shared maps with role-based restrictions.</x:v>
      </x:c>
      <x:c r="L40" s="9" t="str"/>
      <x:c r="M40" s="9" t="str"/>
      <x:c r="N40" s="9" t="str"/>
      <x:c r="O40" s="9" t="str"/>
    </x:row>
    <x:row r="41" ht="43.5" customHeight="1">
      <x:c r="A41" s="9" t="str">
        <x:v>Sharing and collaboration</x:v>
      </x:c>
      <x:c r="B41" s="9" t="str">
        <x:v>Collaboration backend entities</x:v>
      </x:c>
      <x:c r="C41" s="9" t="str">
        <x:v>Backend foundation for memberships, invites, comments, settings, access requests, and activity events.</x:v>
      </x:c>
      <x:c r="D41" s="9" t="str">
        <x:v>Partial</x:v>
      </x:c>
      <x:c r="E41" s="9" t="str">
        <x:v>P1</x:v>
      </x:c>
      <x:c r="F41" s="9" t="str">
        <x:v>M</x:v>
      </x:c>
      <x:c r="G41" s="9" t="str">
        <x:v>High</x:v>
      </x:c>
      <x:c r="H41" s="9" t="str">
        <x:v>Collaboration Phases 1-3</x:v>
      </x:c>
      <x:c r="I41" s="9" t="str">
        <x:v>COLLABORATION_BACKEND_ENABLED</x:v>
      </x:c>
      <x:c r="J41" s="9" t="str">
        <x:v>docs/collaboration-backend.md; routes/collaboration.js</x:v>
      </x:c>
      <x:c r="K41" s="9" t="str">
        <x:v>Docs list backend endpoints and schema but the feature is flag-gated.</x:v>
      </x:c>
      <x:c r="L41" s="9" t="str"/>
      <x:c r="M41" s="9" t="str"/>
      <x:c r="N41" s="9" t="str"/>
      <x:c r="O41" s="9" t="str">
        <x:v>Partial because default behavior is unchanged when flag is off.</x:v>
      </x:c>
    </x:row>
    <x:row r="42" ht="43.5" customHeight="1">
      <x:c r="A42" s="9" t="str">
        <x:v>Sharing and collaboration</x:v>
      </x:c>
      <x:c r="B42" s="9" t="str">
        <x:v>Invite acceptance and invite inbox</x:v>
      </x:c>
      <x:c r="C42" s="9" t="str">
        <x:v>Accept collaboration invites and review pending invitations.</x:v>
      </x:c>
      <x:c r="D42" s="9" t="str">
        <x:v>Partial</x:v>
      </x:c>
      <x:c r="E42" s="9" t="str">
        <x:v>P1</x:v>
      </x:c>
      <x:c r="F42" s="9" t="str">
        <x:v>M</x:v>
      </x:c>
      <x:c r="G42" s="9" t="str">
        <x:v>Medium</x:v>
      </x:c>
      <x:c r="H42" s="9" t="str">
        <x:v>Collaboration Phase 6</x:v>
      </x:c>
      <x:c r="I42" s="9" t="str">
        <x:v>Collaboration backend and email delivery</x:v>
      </x:c>
      <x:c r="J42" s="9" t="str">
        <x:v>docs/collaboration-backend.md; frontend/src/components/routes/InviteAcceptGate.js; frontend/src/components/modals/InviteInboxModal.js</x:v>
      </x:c>
      <x:c r="K42" s="9" t="str">
        <x:v>Backend invite accept endpoint and frontend invite gate/inbox components exist.</x:v>
      </x:c>
      <x:c r="L42" s="9" t="str"/>
      <x:c r="M42" s="9" t="str"/>
      <x:c r="N42" s="9" t="str"/>
      <x:c r="O42" s="9" t="str">
        <x:v>Needs product validation with real email/invite flows.</x:v>
      </x:c>
    </x:row>
    <x:row r="43" ht="43.5" customHeight="1">
      <x:c r="A43" s="9" t="str">
        <x:v>Sharing and collaboration</x:v>
      </x:c>
      <x:c r="B43" s="9" t="str">
        <x:v>Access request inbox</x:v>
      </x:c>
      <x:c r="C43" s="9" t="str">
        <x:v>Let owners review and approve/deny map access requests.</x:v>
      </x:c>
      <x:c r="D43" s="9" t="str">
        <x:v>Partial</x:v>
      </x:c>
      <x:c r="E43" s="9" t="str">
        <x:v>P1</x:v>
      </x:c>
      <x:c r="F43" s="9" t="str">
        <x:v>M</x:v>
      </x:c>
      <x:c r="G43" s="9" t="str">
        <x:v>Medium</x:v>
      </x:c>
      <x:c r="H43" s="9" t="str">
        <x:v>Collaboration Phase 6</x:v>
      </x:c>
      <x:c r="I43" s="9" t="str">
        <x:v>Owner policy and access-request backend</x:v>
      </x:c>
      <x:c r="J43" s="9" t="str">
        <x:v>docs/collaboration-backend.md; frontend/src/components/modals/AccessRequestInboxModal.js; frontend/src/components/modals/AccessRequestInboxModal.test.js</x:v>
      </x:c>
      <x:c r="K43" s="9" t="str">
        <x:v>Backend access request endpoints and inbox modal/tests exist.</x:v>
      </x:c>
      <x:c r="L43" s="9" t="str"/>
      <x:c r="M43" s="9" t="str"/>
      <x:c r="N43" s="9" t="str"/>
      <x:c r="O43" s="9" t="str"/>
    </x:row>
    <x:row r="44" ht="43.5" customHeight="1">
      <x:c r="A44" s="9" t="str">
        <x:v>Sharing and collaboration</x:v>
      </x:c>
      <x:c r="B44" s="9" t="str">
        <x:v>API-driven permission feature gates</x:v>
      </x:c>
      <x:c r="C44" s="9" t="str">
        <x:v>Use backend-resolved role permissions to gate map view, edit, comment, version, share, discovery, presence, and co-editing features.</x:v>
      </x:c>
      <x:c r="D44" s="9" t="str">
        <x:v>Partial</x:v>
      </x:c>
      <x:c r="E44" s="9" t="str">
        <x:v>P1</x:v>
      </x:c>
      <x:c r="F44" s="9" t="str">
        <x:v>M</x:v>
      </x:c>
      <x:c r="G44" s="9" t="str">
        <x:v>High</x:v>
      </x:c>
      <x:c r="H44" s="9" t="str">
        <x:v>Phase 9E</x:v>
      </x:c>
      <x:c r="I44" s="9" t="str">
        <x:v>REACT_APP_PERMISSION_GATING_ENABLED</x:v>
      </x:c>
      <x:c r="J44" s="9" t="str">
        <x:v>docs/permission-feature-gating.md; policies/permissionPolicy.js; frontend/src/api.js</x:v>
      </x:c>
      <x:c r="K44" s="9" t="str">
        <x:v>Docs list feature-gates endpoint and frontend flag; default is off.</x:v>
      </x:c>
      <x:c r="L44" s="9" t="str"/>
      <x:c r="M44" s="9" t="str"/>
      <x:c r="N44" s="9" t="str"/>
      <x:c r="O44" s="9" t="str">
        <x:v>Partial because fallback legacy gating remains default.</x:v>
      </x:c>
    </x:row>
    <x:row r="45" ht="43.5" customHeight="1">
      <x:c r="A45" s="9" t="str">
        <x:v>Sharing and collaboration</x:v>
      </x:c>
      <x:c r="B45" s="9" t="str">
        <x:v>Multiple owners</x:v>
      </x:c>
      <x:c r="C45" s="9" t="str">
        <x:v>Support more than one owner for a map.</x:v>
      </x:c>
      <x:c r="D45" s="9" t="str">
        <x:v>Planned</x:v>
      </x:c>
      <x:c r="E45" s="9" t="str">
        <x:v>P1</x:v>
      </x:c>
      <x:c r="F45" s="9" t="str">
        <x:v>L</x:v>
      </x:c>
      <x:c r="G45" s="9" t="str">
        <x:v>High</x:v>
      </x:c>
      <x:c r="H45" s="9" t="str">
        <x:v>Collaboration Phase 1</x:v>
      </x:c>
      <x:c r="I45" s="9" t="str">
        <x:v>Permission model refactor</x:v>
      </x:c>
      <x:c r="J45" s="9" t="str">
        <x:v>docs/collaboration-roadmap.md</x:v>
      </x:c>
      <x:c r="K45" s="9" t="str">
        <x:v>Roadmap maps multiple owners to Phase 1 as a structural permission-model change.</x:v>
      </x:c>
      <x:c r="L45" s="9" t="str"/>
      <x:c r="M45" s="9" t="str"/>
      <x:c r="N45" s="9" t="str"/>
      <x:c r="O45" s="9" t="str"/>
    </x:row>
    <x:row r="46" ht="43.5" customHeight="1">
      <x:c r="A46" s="9" t="str">
        <x:v>Sharing and collaboration</x:v>
      </x:c>
      <x:c r="B46" s="9" t="str">
        <x:v>Owner-governed collaboration policy</x:v>
      </x:c>
      <x:c r="C46" s="9" t="str">
        <x:v>Let owners control private/open collaboration settings and approval rules.</x:v>
      </x:c>
      <x:c r="D46" s="9" t="str">
        <x:v>Planned</x:v>
      </x:c>
      <x:c r="E46" s="9" t="str">
        <x:v>P1</x:v>
      </x:c>
      <x:c r="F46" s="9" t="str">
        <x:v>L</x:v>
      </x:c>
      <x:c r="G46" s="9" t="str">
        <x:v>High</x:v>
      </x:c>
      <x:c r="H46" s="9" t="str">
        <x:v>Collaboration Phase 1 + 6</x:v>
      </x:c>
      <x:c r="I46" s="9" t="str">
        <x:v>Multiple-owner model and collaboration settings</x:v>
      </x:c>
      <x:c r="J46" s="9" t="str">
        <x:v>docs/collaboration-roadmap.md; docs/collaboration-backend.md</x:v>
      </x:c>
      <x:c r="K46" s="9" t="str">
        <x:v>Roadmap says owner approval and collaboration policy should come before richer collaboration UI.</x:v>
      </x:c>
      <x:c r="L46" s="9" t="str"/>
      <x:c r="M46" s="9" t="str"/>
      <x:c r="N46" s="9" t="str"/>
      <x:c r="O46" s="9" t="str"/>
    </x:row>
    <x:row r="47" ht="43.5" customHeight="1">
      <x:c r="A47" s="9" t="str">
        <x:v>Sharing and collaboration</x:v>
      </x:c>
      <x:c r="B47" s="9" t="str">
        <x:v>Transactional collaboration email</x:v>
      </x:c>
      <x:c r="C47" s="9" t="str">
        <x:v>Send invites, access-request notifications, and auth/collaboration transactional email through provider abstraction.</x:v>
      </x:c>
      <x:c r="D47" s="9" t="str">
        <x:v>Partial</x:v>
      </x:c>
      <x:c r="E47" s="9" t="str">
        <x:v>P1</x:v>
      </x:c>
      <x:c r="F47" s="9" t="str">
        <x:v>M</x:v>
      </x:c>
      <x:c r="G47" s="9" t="str">
        <x:v>High</x:v>
      </x:c>
      <x:c r="H47" s="9" t="str">
        <x:v>Platform track</x:v>
      </x:c>
      <x:c r="I47" s="9" t="str">
        <x:v>Email provider/domain setup</x:v>
      </x:c>
      <x:c r="J47" s="9" t="str">
        <x:v>docs/collaboration-roadmap.md; README.md</x:v>
      </x:c>
      <x:c r="K47" s="9" t="str">
        <x:v>Roadmap says provider abstraction, queue, audit rows, admin diagnostics, and webhooks exist; production provider setup remains operational.</x:v>
      </x:c>
      <x:c r="L47" s="9" t="str"/>
      <x:c r="M47" s="9" t="str"/>
      <x:c r="N47" s="9" t="str"/>
      <x:c r="O47" s="9" t="str">
        <x:v>Marketing/promotional email is out of scope.</x:v>
      </x:c>
    </x:row>
    <x:row r="48" ht="43.5" customHeight="1">
      <x:c r="A48" s="9" t="str">
        <x:v>Comments and review</x:v>
      </x:c>
      <x:c r="B48" s="9" t="str">
        <x:v>Node comments and replies</x:v>
      </x:c>
      <x:c r="C48" s="9" t="str">
        <x:v>Add comments, replies, and completion state to map nodes.</x:v>
      </x:c>
      <x:c r="D48" s="9" t="str">
        <x:v>Complete</x:v>
      </x:c>
      <x:c r="E48" s="9" t="str">
        <x:v>P0</x:v>
      </x:c>
      <x:c r="F48" s="9" t="str">
        <x:v>Done</x:v>
      </x:c>
      <x:c r="G48" s="9" t="str">
        <x:v>Medium</x:v>
      </x:c>
      <x:c r="H48" s="9" t="str">
        <x:v>Current product</x:v>
      </x:c>
      <x:c r="I48" s="9" t="str">
        <x:v>Map/node data</x:v>
      </x:c>
      <x:c r="J48" s="9" t="str">
        <x:v>frontend/src/components/comments/CommentPopover.js; frontend/src/components/comments/CommentsPanel.js; frontend/src/components/comments/CommentsPanel.test.js</x:v>
      </x:c>
      <x:c r="K48" s="9" t="str">
        <x:v>Comment popover/panel and tests exist.</x:v>
      </x:c>
      <x:c r="L48" s="9" t="str"/>
      <x:c r="M48" s="9" t="str"/>
      <x:c r="N48" s="9" t="str"/>
      <x:c r="O48" s="9" t="str">
        <x:v>Current roadmap notes local JSON limitations for live mode.</x:v>
      </x:c>
    </x:row>
    <x:row r="49" ht="43.5" customHeight="1">
      <x:c r="A49" s="9" t="str">
        <x:v>Comments and review</x:v>
      </x:c>
      <x:c r="B49" s="9" t="str">
        <x:v>First-class backend comments</x:v>
      </x:c>
      <x:c r="C49" s="9" t="str">
        <x:v>Store comments as backend entities with map/node/comment IDs and lazy legacy import.</x:v>
      </x:c>
      <x:c r="D49" s="9" t="str">
        <x:v>Partial</x:v>
      </x:c>
      <x:c r="E49" s="9" t="str">
        <x:v>P1</x:v>
      </x:c>
      <x:c r="F49" s="9" t="str">
        <x:v>M</x:v>
      </x:c>
      <x:c r="G49" s="9" t="str">
        <x:v>High</x:v>
      </x:c>
      <x:c r="H49" s="9" t="str">
        <x:v>Collaboration Phase 3A</x:v>
      </x:c>
      <x:c r="I49" s="9" t="str">
        <x:v>Collaboration backend</x:v>
      </x:c>
      <x:c r="J49" s="9" t="str">
        <x:v>docs/collaboration-backend.md; docs/collaboration-roadmap.md</x:v>
      </x:c>
      <x:c r="K49" s="9" t="str">
        <x:v>Backend docs describe comment endpoints; roadmap still calls commenter functionality Phase 3.</x:v>
      </x:c>
      <x:c r="L49" s="9" t="str"/>
      <x:c r="M49" s="9" t="str"/>
      <x:c r="N49" s="9" t="str"/>
      <x:c r="O49" s="9" t="str">
        <x:v>Needed before commenter role is fully correct in live collaboration.</x:v>
      </x:c>
    </x:row>
    <x:row r="50" ht="43.5" customHeight="1">
      <x:c r="A50" s="9" t="str">
        <x:v>Comments and review</x:v>
      </x:c>
      <x:c r="B50" s="9" t="str">
        <x:v>Commenter role functionality</x:v>
      </x:c>
      <x:c r="C50" s="9" t="str">
        <x:v>Let commenters participate through comment-specific permissions without full edit rights.</x:v>
      </x:c>
      <x:c r="D50" s="9" t="str">
        <x:v>Planned</x:v>
      </x:c>
      <x:c r="E50" s="9" t="str">
        <x:v>P1</x:v>
      </x:c>
      <x:c r="F50" s="9" t="str">
        <x:v>M</x:v>
      </x:c>
      <x:c r="G50" s="9" t="str">
        <x:v>High</x:v>
      </x:c>
      <x:c r="H50" s="9" t="str">
        <x:v>Collaboration Phase 3</x:v>
      </x:c>
      <x:c r="I50" s="9" t="str">
        <x:v>First-class backend comments</x:v>
      </x:c>
      <x:c r="J50" s="9" t="str">
        <x:v>docs/collaboration-roadmap.md</x:v>
      </x:c>
      <x:c r="K50" s="9" t="str">
        <x:v>Requested item table maps commenter functionality to Phase 3.</x:v>
      </x:c>
      <x:c r="L50" s="9" t="str"/>
      <x:c r="M50" s="9" t="str"/>
      <x:c r="N50" s="9" t="str"/>
      <x:c r="O50" s="9" t="str"/>
    </x:row>
    <x:row r="51" ht="43.5" customHeight="1">
      <x:c r="A51" s="9" t="str">
        <x:v>Realtime and co-editing</x:v>
      </x:c>
      <x:c r="B51" s="9" t="str">
        <x:v>Presence sessions</x:v>
      </x:c>
      <x:c r="C51" s="9" t="str">
        <x:v>Track active authenticated sessions on a saved map and show active-session awareness.</x:v>
      </x:c>
      <x:c r="D51" s="9" t="str">
        <x:v>Partial</x:v>
      </x:c>
      <x:c r="E51" s="9" t="str">
        <x:v>P2</x:v>
      </x:c>
      <x:c r="F51" s="9" t="str">
        <x:v>M</x:v>
      </x:c>
      <x:c r="G51" s="9" t="str">
        <x:v>Medium</x:v>
      </x:c>
      <x:c r="H51" s="9" t="str">
        <x:v>Phase 9D</x:v>
      </x:c>
      <x:c r="I51" s="9" t="str">
        <x:v>REALTIME_BASELINE_ENABLED</x:v>
      </x:c>
      <x:c r="J51" s="9" t="str">
        <x:v>docs/realtime-collaboration-baseline.md; frontend/src/hooks/useCoeditingLive.test.js</x:v>
      </x:c>
      <x:c r="K51" s="9" t="str">
        <x:v>Realtime baseline docs list presence endpoints and frontend flag; default is off.</x:v>
      </x:c>
      <x:c r="L51" s="9" t="str"/>
      <x:c r="M51" s="9" t="str"/>
      <x:c r="N51" s="9" t="str"/>
      <x:c r="O51" s="9" t="str">
        <x:v>Not full co-editing.</x:v>
      </x:c>
    </x:row>
    <x:row r="52" ht="43.5" customHeight="1">
      <x:c r="A52" s="9" t="str">
        <x:v>Realtime and co-editing</x:v>
      </x:c>
      <x:c r="B52" s="9" t="str">
        <x:v>Live co-editing mode</x:v>
      </x:c>
      <x:c r="C52" s="9" t="str">
        <x:v>Allow scoped users/maps to edit saved maps through live document, socket, op queue, replay, and resync paths.</x:v>
      </x:c>
      <x:c r="D52" s="9" t="str">
        <x:v>Partial</x:v>
      </x:c>
      <x:c r="E52" s="9" t="str">
        <x:v>P1</x:v>
      </x:c>
      <x:c r="F52" s="9" t="str">
        <x:v>XL</x:v>
      </x:c>
      <x:c r="G52" s="9" t="str">
        <x:v>High</x:v>
      </x:c>
      <x:c r="H52" s="9" t="str">
        <x:v>Phase 10D/10E</x:v>
      </x:c>
      <x:c r="I52" s="9" t="str">
        <x:v>COEDITING_EXPERIMENT_ENABLED and rollout gates</x:v>
      </x:c>
      <x:c r="J52" s="9" t="str">
        <x:v>docs/coediting-frontend-live-mode.md; docs/coediting-rollout-safety-controls.md</x:v>
      </x:c>
      <x:c r="K52" s="9" t="str">
        <x:v>Docs describe opt-in live mode, activation rules, supported edits, blocked flows, and rollout gates.</x:v>
      </x:c>
      <x:c r="L52" s="9" t="str"/>
      <x:c r="M52" s="9" t="str"/>
      <x:c r="N52" s="9" t="str"/>
      <x:c r="O52" s="9" t="str">
        <x:v>Partial because it is feature-flagged and intentionally limited.</x:v>
      </x:c>
    </x:row>
    <x:row r="53" ht="43.5" customHeight="1">
      <x:c r="A53" s="9" t="str">
        <x:v>Realtime and co-editing</x:v>
      </x:c>
      <x:c r="B53" s="9" t="str">
        <x:v>Collaborator selection presence</x:v>
      </x:c>
      <x:c r="C53" s="9" t="str">
        <x:v>Broadcast selected node IDs and render collaborator selection indicators.</x:v>
      </x:c>
      <x:c r="D53" s="9" t="str">
        <x:v>Partial</x:v>
      </x:c>
      <x:c r="E53" s="9" t="str">
        <x:v>P2</x:v>
      </x:c>
      <x:c r="F53" s="9" t="str">
        <x:v>M</x:v>
      </x:c>
      <x:c r="G53" s="9" t="str">
        <x:v>Medium</x:v>
      </x:c>
      <x:c r="H53" s="9" t="str">
        <x:v>Phase 10D</x:v>
      </x:c>
      <x:c r="I53" s="9" t="str">
        <x:v>Live WebSocket session</x:v>
      </x:c>
      <x:c r="J53" s="9" t="str">
        <x:v>docs/coediting-frontend-live-mode.md</x:v>
      </x:c>
      <x:c r="K53" s="9" t="str">
        <x:v>Docs describe throttled selection.update messages and selection pills.</x:v>
      </x:c>
      <x:c r="L53" s="9" t="str"/>
      <x:c r="M53" s="9" t="str"/>
      <x:c r="N53" s="9" t="str"/>
      <x:c r="O53" s="9" t="str">
        <x:v>No full cursor streaming yet.</x:v>
      </x:c>
    </x:row>
    <x:row r="54" ht="43.5" customHeight="1">
      <x:c r="A54" s="9" t="str">
        <x:v>Realtime and co-editing</x:v>
      </x:c>
      <x:c r="B54" s="9" t="str">
        <x:v>Activity event store</x:v>
      </x:c>
      <x:c r="C54" s="9" t="str">
        <x:v>Record append-only map activity events separately from scan history and version snapshots.</x:v>
      </x:c>
      <x:c r="D54" s="9" t="str">
        <x:v>Partial</x:v>
      </x:c>
      <x:c r="E54" s="9" t="str">
        <x:v>P1</x:v>
      </x:c>
      <x:c r="F54" s="9" t="str">
        <x:v>M</x:v>
      </x:c>
      <x:c r="G54" s="9" t="str">
        <x:v>High</x:v>
      </x:c>
      <x:c r="H54" s="9" t="str">
        <x:v>Collaboration Phase 2A</x:v>
      </x:c>
      <x:c r="I54" s="9" t="str">
        <x:v>Collaboration backend</x:v>
      </x:c>
      <x:c r="J54" s="9" t="str">
        <x:v>docs/collaboration-backend.md; docs/collaboration-roadmap.md</x:v>
      </x:c>
      <x:c r="K54" s="9" t="str">
        <x:v>Backend docs list activity event table/sources; roadmap says history log needs activity store then UI.</x:v>
      </x:c>
      <x:c r="L54" s="9" t="str"/>
      <x:c r="M54" s="9" t="str"/>
      <x:c r="N54" s="9" t="str"/>
      <x:c r="O54" s="9" t="str"/>
    </x:row>
    <x:row r="55" ht="43.5" customHeight="1">
      <x:c r="A55" s="9" t="str">
        <x:v>Realtime and co-editing</x:v>
      </x:c>
      <x:c r="B55" s="9" t="str">
        <x:v>Live update notifications</x:v>
      </x:c>
      <x:c r="C55" s="9" t="str">
        <x:v>Notify users about live changes from other collaborators.</x:v>
      </x:c>
      <x:c r="D55" s="9" t="str">
        <x:v>Planned</x:v>
      </x:c>
      <x:c r="E55" s="9" t="str">
        <x:v>P2</x:v>
      </x:c>
      <x:c r="F55" s="9" t="str">
        <x:v>M</x:v>
      </x:c>
      <x:c r="G55" s="9" t="str">
        <x:v>Medium</x:v>
      </x:c>
      <x:c r="H55" s="9" t="str">
        <x:v>Collaboration Phase 5</x:v>
      </x:c>
      <x:c r="I55" s="9" t="str">
        <x:v>Activity event store</x:v>
      </x:c>
      <x:c r="J55" s="9" t="str">
        <x:v>docs/collaboration-roadmap.md</x:v>
      </x:c>
      <x:c r="K55" s="9" t="str">
        <x:v>Requested item table maps live update notifications to Phase 5.</x:v>
      </x:c>
      <x:c r="L55" s="9" t="str"/>
      <x:c r="M55" s="9" t="str"/>
      <x:c r="N55" s="9" t="str"/>
      <x:c r="O55" s="9" t="str"/>
    </x:row>
    <x:row r="56" ht="43.5" customHeight="1">
      <x:c r="A56" s="9" t="str">
        <x:v>Realtime and co-editing</x:v>
      </x:c>
      <x:c r="B56" s="9" t="str">
        <x:v>Read-only realtime for viewers/commenters</x:v>
      </x:c>
      <x:c r="C56" s="9" t="str">
        <x:v>Give viewer/commenter roles a complete read-only live subscription experience.</x:v>
      </x:c>
      <x:c r="D56" s="9" t="str">
        <x:v>Planned</x:v>
      </x:c>
      <x:c r="E56" s="9" t="str">
        <x:v>P2</x:v>
      </x:c>
      <x:c r="F56" s="9" t="str">
        <x:v>L</x:v>
      </x:c>
      <x:c r="G56" s="9" t="str">
        <x:v>High</x:v>
      </x:c>
      <x:c r="H56" s="9" t="str">
        <x:v>Collaboration Phase 4/5</x:v>
      </x:c>
      <x:c r="I56" s="9" t="str">
        <x:v>Stable read-only subscription path</x:v>
      </x:c>
      <x:c r="J56" s="9" t="str">
        <x:v>docs/collaboration-roadmap.md</x:v>
      </x:c>
      <x:c r="K56" s="9" t="str">
        <x:v>Roadmap lists viewer/commenter read-only live subscription as a known gap.</x:v>
      </x:c>
      <x:c r="L56" s="9" t="str"/>
      <x:c r="M56" s="9" t="str"/>
      <x:c r="N56" s="9" t="str"/>
      <x:c r="O56" s="9" t="str"/>
    </x:row>
    <x:row r="57" ht="43.5" customHeight="1">
      <x:c r="A57" s="9" t="str">
        <x:v>Admin and feedback</x:v>
      </x:c>
      <x:c r="B57" s="9" t="str">
        <x:v>In-app feedback widget</x:v>
      </x:c>
      <x:c r="C57" s="9" t="str">
        <x:v>Collect user feedback from inside the app.</x:v>
      </x:c>
      <x:c r="D57" s="9" t="str">
        <x:v>Complete</x:v>
      </x:c>
      <x:c r="E57" s="9" t="str">
        <x:v>P1</x:v>
      </x:c>
      <x:c r="F57" s="9" t="str">
        <x:v>Done</x:v>
      </x:c>
      <x:c r="G57" s="9" t="str">
        <x:v>Low</x:v>
      </x:c>
      <x:c r="H57" s="9" t="str">
        <x:v>Current product</x:v>
      </x:c>
      <x:c r="I57" s="9" t="str"/>
      <x:c r="J57" s="9" t="str">
        <x:v>frontend/src/components/feedback/FeedbackWidget.js; frontend/src/utils/feedback.js</x:v>
      </x:c>
      <x:c r="K57" s="9" t="str">
        <x:v>Feedback widget and feedback utility exist.</x:v>
      </x:c>
      <x:c r="L57" s="9" t="str"/>
      <x:c r="M57" s="9" t="str"/>
      <x:c r="N57" s="9" t="str"/>
      <x:c r="O57" s="9" t="str"/>
    </x:row>
    <x:row r="58" ht="43.5" customHeight="1">
      <x:c r="A58" s="9" t="str">
        <x:v>Admin and feedback</x:v>
      </x:c>
      <x:c r="B58" s="9" t="str">
        <x:v>Feedback console and roadmap themes</x:v>
      </x:c>
      <x:c r="C58" s="9" t="str">
        <x:v>Review feedback, group recurring themes, set priority/severity/status, and attach external tracker URLs.</x:v>
      </x:c>
      <x:c r="D58" s="9" t="str">
        <x:v>Complete</x:v>
      </x:c>
      <x:c r="E58" s="9" t="str">
        <x:v>P1</x:v>
      </x:c>
      <x:c r="F58" s="9" t="str">
        <x:v>Done</x:v>
      </x:c>
      <x:c r="G58" s="9" t="str">
        <x:v>Medium</x:v>
      </x:c>
      <x:c r="H58" s="9" t="str">
        <x:v>Current product</x:v>
      </x:c>
      <x:c r="I58" s="9" t="str">
        <x:v>Admin auth/API</x:v>
      </x:c>
      <x:c r="J58" s="9" t="str">
        <x:v>frontend/src/components/admin/FeedbackConsole.js; routes/admin.js</x:v>
      </x:c>
      <x:c r="K58" s="9" t="str">
        <x:v>Feedback console includes theme status, priority, severity, owner, and tracker URL fields.</x:v>
      </x:c>
      <x:c r="L58" s="9" t="str"/>
      <x:c r="M58" s="9" t="str"/>
      <x:c r="N58" s="9" t="str"/>
      <x:c r="O58" s="9" t="str">
        <x:v>This already has a place for Linear links.</x:v>
      </x:c>
    </x:row>
    <x:row r="59" ht="43.5" customHeight="1">
      <x:c r="A59" s="9" t="str">
        <x:v>Admin and feedback</x:v>
      </x:c>
      <x:c r="B59" s="9" t="str">
        <x:v>Usage metering and limits</x:v>
      </x:c>
      <x:c r="C59" s="9" t="str">
        <x:v>Track scan/screenshot usage and enforce configured limits.</x:v>
      </x:c>
      <x:c r="D59" s="9" t="str">
        <x:v>Partial</x:v>
      </x:c>
      <x:c r="E59" s="9" t="str">
        <x:v>P1</x:v>
      </x:c>
      <x:c r="F59" s="9" t="str">
        <x:v>M</x:v>
      </x:c>
      <x:c r="G59" s="9" t="str">
        <x:v>High</x:v>
      </x:c>
      <x:c r="H59" s="9" t="str">
        <x:v>Operational hardening</x:v>
      </x:c>
      <x:c r="I59" s="9" t="str">
        <x:v>Usage store and admin APIs</x:v>
      </x:c>
      <x:c r="J59" s="9" t="str">
        <x:v>README.md; routes/admin.js; config/</x:v>
      </x:c>
      <x:c r="K59" s="9" t="str">
        <x:v>README lists usage limit env vars and admin key; local checkout also contains usage config/admin work.</x:v>
      </x:c>
      <x:c r="L59" s="9" t="str"/>
      <x:c r="M59" s="9" t="str"/>
      <x:c r="N59" s="9" t="str"/>
      <x:c r="O59" s="9" t="str">
        <x:v>Partial until current admin usage/cost work is validated and committed.</x:v>
      </x:c>
    </x:row>
    <x:row r="60" ht="43.5" customHeight="1">
      <x:c r="A60" s="9" t="str">
        <x:v>Admin and feedback</x:v>
      </x:c>
      <x:c r="B60" s="9" t="str">
        <x:v>Runtime verification scripts</x:v>
      </x:c>
      <x:c r="C60" s="9" t="str">
        <x:v>Verify staging/production health, auth, realtime rollout, and runtime behavior.</x:v>
      </x:c>
      <x:c r="D60" s="9" t="str">
        <x:v>Complete</x:v>
      </x:c>
      <x:c r="E60" s="9" t="str">
        <x:v>P1</x:v>
      </x:c>
      <x:c r="F60" s="9" t="str">
        <x:v>Done</x:v>
      </x:c>
      <x:c r="G60" s="9" t="str">
        <x:v>Low</x:v>
      </x:c>
      <x:c r="H60" s="9" t="str">
        <x:v>Current operations</x:v>
      </x:c>
      <x:c r="I60" s="9" t="str">
        <x:v>Staging/production env config</x:v>
      </x:c>
      <x:c r="J60" s="9" t="str">
        <x:v>README.md; scripts/smoke-test.js; scripts/check-local-collaboration.js</x:v>
      </x:c>
      <x:c r="K60" s="9" t="str">
        <x:v>README lists runtime verification commands and targeted scripts exist.</x:v>
      </x:c>
      <x:c r="L60" s="9" t="str"/>
      <x:c r="M60" s="9" t="str"/>
      <x:c r="N60" s="9" t="str"/>
      <x:c r="O60" s="9" t="str"/>
    </x:row>
    <x:row r="61" ht="43.5" customHeight="1">
      <x:c r="A61" s="9" t="str">
        <x:v>Platform and data</x:v>
      </x:c>
      <x:c r="B61" s="9" t="str">
        <x:v>SQLite local/dev runtime</x:v>
      </x:c>
      <x:c r="C61" s="9" t="str">
        <x:v>Support local development with SQLite fallback storage.</x:v>
      </x:c>
      <x:c r="D61" s="9" t="str">
        <x:v>Complete</x:v>
      </x:c>
      <x:c r="E61" s="9" t="str">
        <x:v>P1</x:v>
      </x:c>
      <x:c r="F61" s="9" t="str">
        <x:v>Done</x:v>
      </x:c>
      <x:c r="G61" s="9" t="str">
        <x:v>Low</x:v>
      </x:c>
      <x:c r="H61" s="9" t="str">
        <x:v>Current platform</x:v>
      </x:c>
      <x:c r="I61" s="9" t="str"/>
      <x:c r="J61" s="9" t="str">
        <x:v>README.md; docs/postgres-migration.md</x:v>
      </x:c>
      <x:c r="K61" s="9" t="str">
        <x:v>README documents DB_PROVIDER sqlite default and DB_PATH fallback.</x:v>
      </x:c>
      <x:c r="L61" s="9" t="str"/>
      <x:c r="M61" s="9" t="str"/>
      <x:c r="N61" s="9" t="str"/>
      <x:c r="O61" s="9" t="str"/>
    </x:row>
    <x:row r="62" ht="43.5" customHeight="1">
      <x:c r="A62" s="9" t="str">
        <x:v>Platform and data</x:v>
      </x:c>
      <x:c r="B62" s="9" t="str">
        <x:v>Postgres runtime path</x:v>
      </x:c>
      <x:c r="C62" s="9" t="str">
        <x:v>Support staging/production Postgres runtime and migration readiness.</x:v>
      </x:c>
      <x:c r="D62" s="9" t="str">
        <x:v>Partial</x:v>
      </x:c>
      <x:c r="E62" s="9" t="str">
        <x:v>P1</x:v>
      </x:c>
      <x:c r="F62" s="9" t="str">
        <x:v>L</x:v>
      </x:c>
      <x:c r="G62" s="9" t="str">
        <x:v>High</x:v>
      </x:c>
      <x:c r="H62" s="9" t="str">
        <x:v>Runtime migration</x:v>
      </x:c>
      <x:c r="I62" s="9" t="str">
        <x:v>Postgres migration validation</x:v>
      </x:c>
      <x:c r="J62" s="9" t="str">
        <x:v>README.md; docs/postgres-migration.md; docs/postgres-runtime-ops.md</x:v>
      </x:c>
      <x:c r="K62" s="9" t="str">
        <x:v>README documents DB_PROVIDER=postgres; migration doc says setting Postgres is not a completed cutover by itself.</x:v>
      </x:c>
      <x:c r="L62" s="9" t="str"/>
      <x:c r="M62" s="9" t="str"/>
      <x:c r="N62" s="9" t="str"/>
      <x:c r="O62" s="9" t="str"/>
    </x:row>
    <x:row r="63" ht="43.5" customHeight="1">
      <x:c r="A63" s="9" t="str">
        <x:v>Platform and data</x:v>
      </x:c>
      <x:c r="B63" s="9" t="str">
        <x:v>Worker/runtime split</x:v>
      </x:c>
      <x:c r="C63" s="9" t="str">
        <x:v>Run web and worker processes separately for jobs such as screenshots, scans, discovery, and email.</x:v>
      </x:c>
      <x:c r="D63" s="9" t="str">
        <x:v>Partial</x:v>
      </x:c>
      <x:c r="E63" s="9" t="str">
        <x:v>P1</x:v>
      </x:c>
      <x:c r="F63" s="9" t="str">
        <x:v>M</x:v>
      </x:c>
      <x:c r="G63" s="9" t="str">
        <x:v>High</x:v>
      </x:c>
      <x:c r="H63" s="9" t="str">
        <x:v>Operational hardening</x:v>
      </x:c>
      <x:c r="I63" s="9" t="str">
        <x:v>Railway worker configuration</x:v>
      </x:c>
      <x:c r="J63" s="9" t="str">
        <x:v>README.md; docs/screenshot-pipeline-hardening.md</x:v>
      </x:c>
      <x:c r="K63" s="9" t="str">
        <x:v>README documents RUN_MODE and worker command; screenshot docs describe separate screenshot worker service.</x:v>
      </x:c>
      <x:c r="L63" s="9" t="str"/>
      <x:c r="M63" s="9" t="str"/>
      <x:c r="N63" s="9" t="str"/>
      <x:c r="O63" s="9" t="str">
        <x:v>Partial because this is runtime/deployment-sensitive.</x:v>
      </x:c>
    </x:row>
    <x:row r="64" ht="43.5" customHeight="1">
      <x:c r="A64" s="9" t="str">
        <x:v>Platform and data</x:v>
      </x:c>
      <x:c r="B64" s="9" t="str">
        <x:v>R2 screenshot storage</x:v>
      </x:c>
      <x:c r="C64" s="9" t="str">
        <x:v>Store screenshot assets in R2 for staging/production while keeping local filesystem fallback for dev.</x:v>
      </x:c>
      <x:c r="D64" s="9" t="str">
        <x:v>Partial</x:v>
      </x:c>
      <x:c r="E64" s="9" t="str">
        <x:v>P1</x:v>
      </x:c>
      <x:c r="F64" s="9" t="str">
        <x:v>M</x:v>
      </x:c>
      <x:c r="G64" s="9" t="str">
        <x:v>High</x:v>
      </x:c>
      <x:c r="H64" s="9" t="str">
        <x:v>Operational hardening</x:v>
      </x:c>
      <x:c r="I64" s="9" t="str">
        <x:v>R2 credentials and route validation</x:v>
      </x:c>
      <x:c r="J64" s="9" t="str">
        <x:v>docs/screenshot-pipeline-hardening.md</x:v>
      </x:c>
      <x:c r="K64" s="9" t="str">
        <x:v>Docs list R2 provider env vars and serving stored assets through /screenshots/:filename.</x:v>
      </x:c>
      <x:c r="L64" s="9" t="str"/>
      <x:c r="M64" s="9" t="str"/>
      <x:c r="N64" s="9" t="str"/>
      <x:c r="O64" s="9" t="str">
        <x:v>Partial until runtime verification confirms the environment.</x:v>
      </x:c>
    </x:row>
    <x:row r="65" ht="43.5" customHeight="1">
      <x:c r="A65" s="9" t="str">
        <x:v>Marketing and product surface</x:v>
      </x:c>
      <x:c r="B65" s="9" t="str">
        <x:v>Marketing site information architecture</x:v>
      </x:c>
      <x:c r="C65" s="9" t="str">
        <x:v>Marketing pages for overview, use cases, features, examples, pricing, FAQ, mission, and contact.</x:v>
      </x:c>
      <x:c r="D65" s="9" t="str">
        <x:v>Partial</x:v>
      </x:c>
      <x:c r="E65" s="9" t="str">
        <x:v>P1</x:v>
      </x:c>
      <x:c r="F65" s="9" t="str">
        <x:v>M</x:v>
      </x:c>
      <x:c r="G65" s="9" t="str">
        <x:v>Medium</x:v>
      </x:c>
      <x:c r="H65" s="9" t="str">
        <x:v>Marketing V1</x:v>
      </x:c>
      <x:c r="I65" s="9" t="str">
        <x:v>Marketing route/content finalization</x:v>
      </x:c>
      <x:c r="J65" s="9" t="str">
        <x:v>frontend/src/marketing/marketingConfig.js; frontend/src/marketing/MarketingSite.js; frontend/src/marketing/MarketingSite.test.js</x:v>
      </x:c>
      <x:c r="K65" s="9" t="str">
        <x:v>Marketing config and tests exist in the current local checkout.</x:v>
      </x:c>
      <x:c r="L65" s="9" t="str"/>
      <x:c r="M65" s="9" t="str"/>
      <x:c r="N65" s="9" t="str"/>
      <x:c r="O65" s="9" t="str">
        <x:v>Partial because local marketing files are currently uncommitted in this checkout.</x:v>
      </x:c>
    </x:row>
    <x:row r="66" ht="43.5" customHeight="1">
      <x:c r="A66" s="9" t="str">
        <x:v>Marketing and product surface</x:v>
      </x:c>
      <x:c r="B66" s="9" t="str">
        <x:v>Marketing SEO metadata and route tests</x:v>
      </x:c>
      <x:c r="C66" s="9" t="str">
        <x:v>Define marketing page metadata, canonical links, and route coverage.</x:v>
      </x:c>
      <x:c r="D66" s="9" t="str">
        <x:v>Partial</x:v>
      </x:c>
      <x:c r="E66" s="9" t="str">
        <x:v>P1</x:v>
      </x:c>
      <x:c r="F66" s="9" t="str">
        <x:v>S</x:v>
      </x:c>
      <x:c r="G66" s="9" t="str">
        <x:v>Medium</x:v>
      </x:c>
      <x:c r="H66" s="9" t="str">
        <x:v>Marketing V1</x:v>
      </x:c>
      <x:c r="I66" s="9" t="str">
        <x:v>Marketing route finalization</x:v>
      </x:c>
      <x:c r="J66" s="9" t="str">
        <x:v>frontend/src/marketing/marketingConfig.js; frontend/src/marketing/MarketingSite.test.js; frontend/src/utils/appRoutes.test.js</x:v>
      </x:c>
      <x:c r="K66" s="9" t="str">
        <x:v>Marketing config includes meta titles/descriptions and route tests exist.</x:v>
      </x:c>
      <x:c r="L66" s="9" t="str"/>
      <x:c r="M66" s="9" t="str"/>
      <x:c r="N66" s="9" t="str"/>
      <x:c r="O66" s="9" t="str">
        <x:v>Partial for same uncommitted-checkout reason as marketing IA.</x:v>
      </x:c>
    </x:row>
    <x:row r="67" ht="43.5" customHeight="1">
      <x:c r="A67" s="9" t="str">
        <x:v>Marketing and product surface</x:v>
      </x:c>
      <x:c r="B67" s="9" t="str">
        <x:v>Pricing plan details</x:v>
      </x:c>
      <x:c r="C67" s="9" t="str">
        <x:v>Publish committed pricing tiers and limits.</x:v>
      </x:c>
      <x:c r="D67" s="9" t="str">
        <x:v>Unknown</x:v>
      </x:c>
      <x:c r="E67" s="9" t="str">
        <x:v>TBD</x:v>
      </x:c>
      <x:c r="F67" s="9" t="str">
        <x:v>TBD</x:v>
      </x:c>
      <x:c r="G67" s="9" t="str">
        <x:v>TBD</x:v>
      </x:c>
      <x:c r="H67" s="9" t="str">
        <x:v>Business decision</x:v>
      </x:c>
      <x:c r="I67" s="9" t="str">
        <x:v>Pricing/product decision</x:v>
      </x:c>
      <x:c r="J67" s="9" t="str"/>
      <x:c r="K67" s="9" t="str">
        <x:v>No committed pricing evidence found; marketing config explicitly avoids inventing final pricing.</x:v>
      </x:c>
      <x:c r="L67" s="9" t="str"/>
      <x:c r="M67" s="9" t="str"/>
      <x:c r="N67" s="9" t="str"/>
      <x:c r="O67" s="9" t="str">
        <x:v>Track as a decision, not an engineering task yet.</x:v>
      </x:c>
    </x:row>
    <x:row r="68" ht="43.5" customHeight="1">
      <x:c r="A68" s="9" t="str">
        <x:v>Marketing and product surface</x:v>
      </x:c>
      <x:c r="B68" s="9" t="str">
        <x:v>Examples library</x:v>
      </x:c>
      <x:c r="C68" s="9" t="str">
        <x:v>Show concrete example maps and workflows.</x:v>
      </x:c>
      <x:c r="D68" s="9" t="str">
        <x:v>Planned</x:v>
      </x:c>
      <x:c r="E68" s="9" t="str">
        <x:v>P2</x:v>
      </x:c>
      <x:c r="F68" s="9" t="str">
        <x:v>M</x:v>
      </x:c>
      <x:c r="G68" s="9" t="str">
        <x:v>Medium</x:v>
      </x:c>
      <x:c r="H68" s="9" t="str">
        <x:v>Marketing V1/V2</x:v>
      </x:c>
      <x:c r="I68" s="9" t="str">
        <x:v>Example content and screenshots</x:v>
      </x:c>
      <x:c r="J68" s="9" t="str">
        <x:v>frontend/src/marketing/marketingConfig.js</x:v>
      </x:c>
      <x:c r="K68" s="9" t="str">
        <x:v>Marketing config includes Examples and Example workflow pages as content shells.</x:v>
      </x:c>
      <x:c r="L68" s="9" t="str"/>
      <x:c r="M68" s="9" t="str"/>
      <x:c r="N68" s="9" t="str"/>
      <x:c r="O68" s="9" t="str"/>
    </x:row>
    <x:row r="69" ht="43.5" customHeight="1">
      <x:c r="A69" s="9" t="str">
        <x:v>Future product vision</x:v>
      </x:c>
      <x:c r="B69" s="9" t="str">
        <x:v>Templates and assistant</x:v>
      </x:c>
      <x:c r="C69" s="9" t="str">
        <x:v>Add reusable templates and assistant workflows.</x:v>
      </x:c>
      <x:c r="D69" s="9" t="str">
        <x:v>Future</x:v>
      </x:c>
      <x:c r="E69" s="9" t="str">
        <x:v>P2</x:v>
      </x:c>
      <x:c r="F69" s="9" t="str">
        <x:v>XL</x:v>
      </x:c>
      <x:c r="G69" s="9" t="str">
        <x:v>High</x:v>
      </x:c>
      <x:c r="H69" s="9" t="str">
        <x:v>Future vision</x:v>
      </x:c>
      <x:c r="I69" s="9" t="str">
        <x:v>Template model and AI workflow design</x:v>
      </x:c>
      <x:c r="J69" s="9" t="str">
        <x:v>frontend/src/marketing/marketingConfig.js</x:v>
      </x:c>
      <x:c r="K69" s="9" t="str">
        <x:v>Marketing feature page lists Templates and assistant under upcoming.</x:v>
      </x:c>
      <x:c r="L69" s="9" t="str"/>
      <x:c r="M69" s="9" t="str"/>
      <x:c r="N69" s="9" t="str"/>
      <x:c r="O69" s="9" t="str"/>
    </x:row>
    <x:row r="70" ht="43.5" customHeight="1">
      <x:c r="A70" s="9" t="str">
        <x:v>Future product vision</x:v>
      </x:c>
      <x:c r="B70" s="9" t="str">
        <x:v>Navigation prototyping and tree testing</x:v>
      </x:c>
      <x:c r="C70" s="9" t="str">
        <x:v>Prototype navigation structures and test tree-style navigation decisions.</x:v>
      </x:c>
      <x:c r="D70" s="9" t="str">
        <x:v>Future</x:v>
      </x:c>
      <x:c r="E70" s="9" t="str">
        <x:v>P3</x:v>
      </x:c>
      <x:c r="F70" s="9" t="str">
        <x:v>XL</x:v>
      </x:c>
      <x:c r="G70" s="9" t="str">
        <x:v>High</x:v>
      </x:c>
      <x:c r="H70" s="9" t="str">
        <x:v>Future vision</x:v>
      </x:c>
      <x:c r="I70" s="9" t="str">
        <x:v>Research/testing workflow design</x:v>
      </x:c>
      <x:c r="J70" s="9" t="str">
        <x:v>frontend/src/marketing/marketingConfig.js</x:v>
      </x:c>
      <x:c r="K70" s="9" t="str">
        <x:v>Marketing feature page lists navigation prototyping and tree testing under upcoming.</x:v>
      </x:c>
      <x:c r="L70" s="9" t="str"/>
      <x:c r="M70" s="9" t="str"/>
      <x:c r="N70" s="9" t="str"/>
      <x:c r="O70" s="9" t="str"/>
    </x:row>
    <x:row r="71" ht="43.5" customHeight="1">
      <x:c r="A71" s="9" t="str">
        <x:v>Future product vision</x:v>
      </x:c>
      <x:c r="B71" s="9" t="str">
        <x:v>Diagramming tools</x:v>
      </x:c>
      <x:c r="C71" s="9" t="str">
        <x:v>Add diagramming capabilities beyond sitemap editing.</x:v>
      </x:c>
      <x:c r="D71" s="9" t="str">
        <x:v>Future</x:v>
      </x:c>
      <x:c r="E71" s="9" t="str">
        <x:v>P3</x:v>
      </x:c>
      <x:c r="F71" s="9" t="str">
        <x:v>XL</x:v>
      </x:c>
      <x:c r="G71" s="9" t="str">
        <x:v>High</x:v>
      </x:c>
      <x:c r="H71" s="9" t="str">
        <x:v>Future vision</x:v>
      </x:c>
      <x:c r="I71" s="9" t="str">
        <x:v>Canvas/product model extension</x:v>
      </x:c>
      <x:c r="J71" s="9" t="str">
        <x:v>frontend/src/marketing/marketingConfig.js</x:v>
      </x:c>
      <x:c r="K71" s="9" t="str">
        <x:v>Marketing feature page lists diagramming tools under upcoming.</x:v>
      </x:c>
      <x:c r="L71" s="9" t="str"/>
      <x:c r="M71" s="9" t="str"/>
      <x:c r="N71" s="9" t="str"/>
      <x:c r="O71" s="9" t="str"/>
    </x:row>
    <x:row r="72" ht="43.5" customHeight="1">
      <x:c r="A72" s="9" t="str">
        <x:v>Future product vision</x:v>
      </x:c>
      <x:c r="B72" s="9" t="str">
        <x:v>Third-party integrations</x:v>
      </x:c>
      <x:c r="C72" s="9" t="str">
        <x:v>Integrate with Atlassian, Slack, Airtable, Figma, and related workflow tools.</x:v>
      </x:c>
      <x:c r="D72" s="9" t="str">
        <x:v>Future</x:v>
      </x:c>
      <x:c r="E72" s="9" t="str">
        <x:v>P3</x:v>
      </x:c>
      <x:c r="F72" s="9" t="str">
        <x:v>XL</x:v>
      </x:c>
      <x:c r="G72" s="9" t="str">
        <x:v>High</x:v>
      </x:c>
      <x:c r="H72" s="9" t="str">
        <x:v>Future vision</x:v>
      </x:c>
      <x:c r="I72" s="9" t="str">
        <x:v>Integration strategy and auth scopes</x:v>
      </x:c>
      <x:c r="J72" s="9" t="str">
        <x:v>frontend/src/marketing/marketingConfig.js</x:v>
      </x:c>
      <x:c r="K72" s="9" t="str">
        <x:v>Marketing feature page lists Atlassian, Slack, Airtable, Figma, and more under upcoming.</x:v>
      </x:c>
      <x:c r="L72" s="9" t="str"/>
      <x:c r="M72" s="9" t="str"/>
      <x:c r="N72" s="9" t="str"/>
      <x:c r="O72" s="9" t="str">
        <x:v>Linear can be added here later if chosen.</x:v>
      </x:c>
    </x:row>
    <x:row r="73" ht="43.5" customHeight="1">
      <x:c r="A73" s="9" t="str">
        <x:v>Design system</x:v>
      </x:c>
      <x:c r="B73" s="9" t="str">
        <x:v>Shared UI primitives</x:v>
      </x:c>
      <x:c r="C73" s="9" t="str">
        <x:v>Reusable buttons, inputs, badges, tags, modals, alerts, toggles, menus, and related primitives.</x:v>
      </x:c>
      <x:c r="D73" s="9" t="str">
        <x:v>Complete</x:v>
      </x:c>
      <x:c r="E73" s="9" t="str">
        <x:v>P1</x:v>
      </x:c>
      <x:c r="F73" s="9" t="str">
        <x:v>Done</x:v>
      </x:c>
      <x:c r="G73" s="9" t="str">
        <x:v>Low</x:v>
      </x:c>
      <x:c r="H73" s="9" t="str">
        <x:v>Current product</x:v>
      </x:c>
      <x:c r="I73" s="9" t="str">
        <x:v>App CSS tokens</x:v>
      </x:c>
      <x:c r="J73" s="9" t="str">
        <x:v>frontend/src/components/ui; frontend/src/components/ui/Primitives.test.js; docs/design-system/figma-code-first-handoff.md</x:v>
      </x:c>
      <x:c r="K73" s="9" t="str">
        <x:v>UI primitive directory/tests exist and Figma handoff maps core primitives.</x:v>
      </x:c>
      <x:c r="L73" s="9" t="str"/>
      <x:c r="M73" s="9" t="str"/>
      <x:c r="N73" s="9" t="str"/>
      <x:c r="O73" s="9" t="str"/>
    </x:row>
    <x:row r="74" ht="43.5" customHeight="1">
      <x:c r="A74" s="9" t="str">
        <x:v>Design system</x:v>
      </x:c>
      <x:c r="B74" s="9" t="str">
        <x:v>Figma library handoff contract</x:v>
      </x:c>
      <x:c r="C74" s="9" t="str">
        <x:v>Maintain a code-first Figma/component/token mapping so design work does not drift from the app.</x:v>
      </x:c>
      <x:c r="D74" s="9" t="str">
        <x:v>Partial</x:v>
      </x:c>
      <x:c r="E74" s="9" t="str">
        <x:v>P2</x:v>
      </x:c>
      <x:c r="F74" s="9" t="str">
        <x:v>M</x:v>
      </x:c>
      <x:c r="G74" s="9" t="str">
        <x:v>Medium</x:v>
      </x:c>
      <x:c r="H74" s="9" t="str">
        <x:v>Design system Phase 1</x:v>
      </x:c>
      <x:c r="I74" s="9" t="str">
        <x:v>Stable app tokens/components</x:v>
      </x:c>
      <x:c r="J74" s="9" t="str">
        <x:v>docs/design-system/figma-code-first-handoff.md; docs/design-system/figma-parity-map.md</x:v>
      </x:c>
      <x:c r="K74" s="9" t="str">
        <x:v>Docs define current mapping and known gaps; code remains source of truth.</x:v>
      </x:c>
      <x:c r="L74" s="9" t="str"/>
      <x:c r="M74" s="9" t="str"/>
      <x:c r="N74" s="9" t="str"/>
      <x:c r="O74" s="9" t="str"/>
    </x:row>
    <x:row r="75" ht="43.5" customHeight="1">
      <x:c r="A75" s="9" t="str">
        <x:v>Design system</x:v>
      </x:c>
      <x:c r="B75" s="9" t="str">
        <x:v>Code Connect automation</x:v>
      </x:c>
      <x:c r="C75" s="9" t="str">
        <x:v>Map Figma components directly to code snippets through Code Connect.</x:v>
      </x:c>
      <x:c r="D75" s="9" t="str">
        <x:v>Future</x:v>
      </x:c>
      <x:c r="E75" s="9" t="str">
        <x:v>P3</x:v>
      </x:c>
      <x:c r="F75" s="9" t="str">
        <x:v>L</x:v>
      </x:c>
      <x:c r="G75" s="9" t="str">
        <x:v>Medium</x:v>
      </x:c>
      <x:c r="H75" s="9" t="str">
        <x:v>Design system Phase 2</x:v>
      </x:c>
      <x:c r="I75" s="9" t="str">
        <x:v>Figma Developer seat and stable component names</x:v>
      </x:c>
      <x:c r="J75" s="9" t="str">
        <x:v>docs/design-system/figma-code-first-handoff.md</x:v>
      </x:c>
      <x:c r="K75" s="9" t="str">
        <x:v>Handoff doc says Code Connect is deferred and currently blocked by account/plan requirements.</x:v>
      </x:c>
      <x:c r="L75" s="9" t="str"/>
      <x:c r="M75" s="9" t="str"/>
      <x:c r="N75" s="9" t="str"/>
      <x:c r="O75" s="9" t="str"/>
    </x:row>
    <x:row r="76" ht="43.5" customHeight="1">
      <x:c r="A76" s="9" t="str">
        <x:v>Design system</x:v>
      </x:c>
      <x:c r="B76" s="9" t="str">
        <x:v>Shared menu surface primitive</x:v>
      </x:c>
      <x:c r="C76" s="9" t="str">
        <x:v>Replace repeated dropdown/menu patterns with a shared menu surface primitive.</x:v>
      </x:c>
      <x:c r="D76" s="9" t="str">
        <x:v>Planned</x:v>
      </x:c>
      <x:c r="E76" s="9" t="str">
        <x:v>P2</x:v>
      </x:c>
      <x:c r="F76" s="9" t="str">
        <x:v>M</x:v>
      </x:c>
      <x:c r="G76" s="9" t="str">
        <x:v>Medium</x:v>
      </x:c>
      <x:c r="H76" s="9" t="str">
        <x:v>Design system cleanup</x:v>
      </x:c>
      <x:c r="I76" s="9" t="str">
        <x:v>UI primitive consolidation</x:v>
      </x:c>
      <x:c r="J76" s="9" t="str">
        <x:v>docs/design-system/figma-code-first-handoff.md</x:v>
      </x:c>
      <x:c r="K76" s="9" t="str">
        <x:v>Figma handoff marks shared Menu Surface as missing.</x:v>
      </x:c>
      <x:c r="L76" s="9" t="str"/>
      <x:c r="M76" s="9" t="str"/>
      <x:c r="N76" s="9" t="str"/>
      <x:c r="O76" s="9" t="str"/>
    </x:row>
    <x:row r="77" ht="43.5" customHeight="1">
      <x:c r="A77" s="9" t="str">
        <x:v>Design system</x:v>
      </x:c>
      <x:c r="B77" s="9" t="str">
        <x:v>Shared option-card primitive</x:v>
      </x:c>
      <x:c r="C77" s="9" t="str">
        <x:v>Consolidate welcome/export/create option cards into a shared primitive where needed.</x:v>
      </x:c>
      <x:c r="D77" s="9" t="str">
        <x:v>Partial</x:v>
      </x:c>
      <x:c r="E77" s="9" t="str">
        <x:v>P3</x:v>
      </x:c>
      <x:c r="F77" s="9" t="str">
        <x:v>S</x:v>
      </x:c>
      <x:c r="G77" s="9" t="str">
        <x:v>Low</x:v>
      </x:c>
      <x:c r="H77" s="9" t="str">
        <x:v>Design system cleanup</x:v>
      </x:c>
      <x:c r="I77" s="9" t="str">
        <x:v>Component consolidation</x:v>
      </x:c>
      <x:c r="J77" s="9" t="str">
        <x:v>docs/design-system/figma-code-first-handoff.md; frontend/src/components/ui/OptionCard.js</x:v>
      </x:c>
      <x:c r="K77" s="9" t="str">
        <x:v>OptionCard exists, while handoff notes some option-card styling remains coupled to specific modals.</x:v>
      </x:c>
      <x:c r="L77" s="9" t="str"/>
      <x:c r="M77" s="9" t="str"/>
      <x:c r="N77" s="9" t="str"/>
      <x:c r="O77" s="9" t="str"/>
    </x:row>
  </x:sheetData>
  <x:dataValidations count="4">
    <x:dataValidation type="list" sqref="D2:D77">
      <x:formula1>"Complete,Partial,Planned,Future,Unknown"</x:formula1>
    </x:dataValidation>
    <x:dataValidation type="list" sqref="E2:E77">
      <x:formula1>"P0,P1,P2,P3,TBD"</x:formula1>
    </x:dataValidation>
    <x:dataValidation type="list" sqref="F2:F77">
      <x:formula1>"Done,XS,S,M,L,XL,TBD"</x:formula1>
    </x:dataValidation>
    <x:dataValidation type="list" sqref="G2:G77">
      <x:formula1>"Low,Medium,High,TBD"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f4dd2e1dd24c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</x:cols>
  <x:sheetData>
    <x:row r="1">
      <x:c r="A1" s="14" t="str">
        <x:v>Vellic Feature Roadmap Summary</x:v>
      </x:c>
      <x:c r="B1" s="14" t="str"/>
      <x:c r="C1" s="14" t="str"/>
      <x:c r="D1" s="14" t="str"/>
      <x:c r="E1" s="14" t="str"/>
      <x:c r="F1" s="14" t="str"/>
    </x:row>
    <x:row r="2">
      <x:c r="A2" s="15" t="str">
        <x:v>Generated</x:v>
      </x:c>
      <x:c r="B2" s="15" t="str">
        <x:v>2026-06-02</x:v>
      </x:c>
      <x:c r="C2" s="15" t="str"/>
      <x:c r="D2" s="15" t="str"/>
      <x:c r="E2" s="15" t="str"/>
      <x:c r="F2" s="15" t="str"/>
    </x:row>
    <x:row r="3">
      <x:c r="A3" s="15" t="str">
        <x:v>Total Features</x:v>
      </x:c>
      <x:c r="B3" s="15" t="n">
        <x:v>76</x:v>
      </x:c>
      <x:c r="C3" s="15" t="str"/>
      <x:c r="D3" s="15" t="str"/>
      <x:c r="E3" s="15" t="str"/>
      <x:c r="F3" s="15" t="str"/>
    </x:row>
    <x:row r="4">
      <x:c r="A4" s="15" t="str"/>
      <x:c r="B4" s="15" t="str"/>
      <x:c r="C4" s="15" t="str"/>
      <x:c r="D4" s="15" t="str"/>
      <x:c r="E4" s="15" t="str"/>
      <x:c r="F4" s="15" t="str"/>
    </x:row>
    <x:row r="5">
      <x:c r="A5" s="16" t="str">
        <x:v>Status</x:v>
      </x:c>
      <x:c r="B5" s="16" t="str">
        <x:v>Count</x:v>
      </x:c>
      <x:c r="C5" s="15" t="str"/>
      <x:c r="D5" s="16" t="str">
        <x:v>Priority</x:v>
      </x:c>
      <x:c r="E5" s="16" t="str">
        <x:v>Count</x:v>
      </x:c>
      <x:c r="F5" s="15" t="str"/>
    </x:row>
    <x:row r="6">
      <x:c r="A6" s="15" t="str">
        <x:v>Complete</x:v>
      </x:c>
      <x:c r="B6" s="15" t="n">
        <x:f>COUNTIF(Matrix!D2:D77,"Complete")</x:f>
        <x:v>40</x:v>
      </x:c>
      <x:c r="C6" s="15" t="str"/>
      <x:c r="D6" s="15" t="str">
        <x:v>P0</x:v>
      </x:c>
      <x:c r="E6" s="15" t="n">
        <x:f>COUNTIF(Matrix!E2:E77,"P0")</x:f>
        <x:v>10</x:v>
      </x:c>
      <x:c r="F6" s="15" t="str"/>
    </x:row>
    <x:row r="7">
      <x:c r="A7" s="15" t="str">
        <x:v>Partial</x:v>
      </x:c>
      <x:c r="B7" s="15" t="n">
        <x:f>COUNTIF(Matrix!D2:D77,"Partial")</x:f>
        <x:v>20</x:v>
      </x:c>
      <x:c r="C7" s="15" t="str"/>
      <x:c r="D7" s="15" t="str">
        <x:v>P1</x:v>
      </x:c>
      <x:c r="E7" s="15" t="n">
        <x:f>COUNTIF(Matrix!E2:E77,"P1")</x:f>
        <x:v>42</x:v>
      </x:c>
      <x:c r="F7" s="15" t="str"/>
    </x:row>
    <x:row r="8">
      <x:c r="A8" s="15" t="str">
        <x:v>Planned</x:v>
      </x:c>
      <x:c r="B8" s="15" t="n">
        <x:f>COUNTIF(Matrix!D2:D77,"Planned")</x:f>
        <x:v>8</x:v>
      </x:c>
      <x:c r="C8" s="15" t="str"/>
      <x:c r="D8" s="15" t="str">
        <x:v>P2</x:v>
      </x:c>
      <x:c r="E8" s="15" t="n">
        <x:f>COUNTIF(Matrix!E2:E77,"P2")</x:f>
        <x:v>17</x:v>
      </x:c>
      <x:c r="F8" s="15" t="str"/>
    </x:row>
    <x:row r="9">
      <x:c r="A9" s="15" t="str">
        <x:v>Future</x:v>
      </x:c>
      <x:c r="B9" s="15" t="n">
        <x:f>COUNTIF(Matrix!D2:D77,"Future")</x:f>
        <x:v>7</x:v>
      </x:c>
      <x:c r="C9" s="15" t="str"/>
      <x:c r="D9" s="15" t="str">
        <x:v>P3</x:v>
      </x:c>
      <x:c r="E9" s="15" t="n">
        <x:f>COUNTIF(Matrix!E2:E77,"P3")</x:f>
        <x:v>6</x:v>
      </x:c>
      <x:c r="F9" s="15" t="str"/>
    </x:row>
    <x:row r="10">
      <x:c r="A10" s="15" t="str">
        <x:v>Unknown</x:v>
      </x:c>
      <x:c r="B10" s="15" t="n">
        <x:f>COUNTIF(Matrix!D2:D77,"Unknown")</x:f>
        <x:v>1</x:v>
      </x:c>
      <x:c r="C10" s="15" t="str"/>
      <x:c r="D10" s="15" t="str">
        <x:v>TBD</x:v>
      </x:c>
      <x:c r="E10" s="15" t="n">
        <x:f>COUNTIF(Matrix!E2:E77,"TBD")</x:f>
        <x:v>1</x:v>
      </x:c>
      <x:c r="F10" s="15" t="str"/>
    </x:row>
    <x:row r="11">
      <x:c r="A11" s="15" t="str"/>
      <x:c r="B11" s="15" t="str"/>
      <x:c r="C11" s="15" t="str"/>
      <x:c r="D11" s="15" t="str"/>
      <x:c r="E11" s="15" t="str"/>
      <x:c r="F11" s="15" t="str"/>
    </x:row>
    <x:row r="12">
      <x:c r="A12" s="16" t="str">
        <x:v>Risk</x:v>
      </x:c>
      <x:c r="B12" s="16" t="str">
        <x:v>Count</x:v>
      </x:c>
      <x:c r="C12" s="15" t="str"/>
      <x:c r="D12" s="16" t="str">
        <x:v>Area</x:v>
      </x:c>
      <x:c r="E12" s="16" t="str">
        <x:v>Count</x:v>
      </x:c>
      <x:c r="F12" s="15" t="str"/>
    </x:row>
    <x:row r="13">
      <x:c r="A13" s="15" t="str">
        <x:v>High</x:v>
      </x:c>
      <x:c r="B13" s="15" t="n">
        <x:f>COUNTIF(Matrix!G2:G77,"High")</x:f>
        <x:v>20</x:v>
      </x:c>
      <x:c r="C13" s="15" t="str"/>
      <x:c r="D13" s="15" t="str">
        <x:v>Scanning and discovery</x:v>
      </x:c>
      <x:c r="E13" s="15" t="n">
        <x:f>COUNTIF(Matrix!A2:A77,"Scanning and discovery")</x:f>
        <x:v>6</x:v>
      </x:c>
      <x:c r="F13" s="15" t="str"/>
    </x:row>
    <x:row r="14">
      <x:c r="A14" s="15" t="str">
        <x:v>Medium</x:v>
      </x:c>
      <x:c r="B14" s="15" t="n">
        <x:f>COUNTIF(Matrix!G2:G77,"Medium")</x:f>
        <x:v>31</x:v>
      </x:c>
      <x:c r="C14" s="15" t="str"/>
      <x:c r="D14" s="15" t="str">
        <x:v>Map creation and editing</x:v>
      </x:c>
      <x:c r="E14" s="15" t="n">
        <x:f>COUNTIF(Matrix!A2:A77,"Map creation and editing")</x:f>
        <x:v>7</x:v>
      </x:c>
      <x:c r="F14" s="15" t="str"/>
    </x:row>
    <x:row r="15">
      <x:c r="A15" s="15" t="str">
        <x:v>Low</x:v>
      </x:c>
      <x:c r="B15" s="15" t="n">
        <x:f>COUNTIF(Matrix!G2:G77,"Low")</x:f>
        <x:v>24</x:v>
      </x:c>
      <x:c r="C15" s="15" t="str"/>
      <x:c r="D15" s="15" t="str">
        <x:v>Images and capture</x:v>
      </x:c>
      <x:c r="E15" s="15" t="n">
        <x:f>COUNTIF(Matrix!A2:A77,"Images and capture")</x:f>
        <x:v>6</x:v>
      </x:c>
      <x:c r="F15" s="15" t="str"/>
    </x:row>
    <x:row r="16">
      <x:c r="A16" s="15" t="str">
        <x:v>TBD</x:v>
      </x:c>
      <x:c r="B16" s="15" t="n">
        <x:f>COUNTIF(Matrix!G2:G77,"TBD")</x:f>
        <x:v>1</x:v>
      </x:c>
      <x:c r="C16" s="15" t="str"/>
      <x:c r="D16" s="15" t="str">
        <x:v>Reports and exports</x:v>
      </x:c>
      <x:c r="E16" s="15" t="n">
        <x:f>COUNTIF(Matrix!A2:A77,"Reports and exports")</x:f>
        <x:v>8</x:v>
      </x:c>
      <x:c r="F16" s="15" t="str"/>
    </x:row>
    <x:row r="17">
      <x:c r="A17" s="15" t="str"/>
      <x:c r="B17" s="15" t="str"/>
      <x:c r="C17" s="15" t="str"/>
      <x:c r="D17" s="15" t="str">
        <x:v>Saving, projects, and versions</x:v>
      </x:c>
      <x:c r="E17" s="15" t="n">
        <x:f>COUNTIF(Matrix!A2:A77,"Saving, projects, and versions")</x:f>
        <x:v>5</x:v>
      </x:c>
      <x:c r="F17" s="15" t="str"/>
    </x:row>
    <x:row r="18">
      <x:c r="A18" s="15" t="str"/>
      <x:c r="B18" s="15" t="str"/>
      <x:c r="C18" s="15" t="str"/>
      <x:c r="D18" s="15" t="str">
        <x:v>Auth and access</x:v>
      </x:c>
      <x:c r="E18" s="15" t="n">
        <x:f>COUNTIF(Matrix!A2:A77,"Auth and access")</x:f>
        <x:v>5</x:v>
      </x:c>
      <x:c r="F18" s="15" t="str"/>
    </x:row>
    <x:row r="19">
      <x:c r="A19" s="15" t="str"/>
      <x:c r="B19" s="15" t="str"/>
      <x:c r="C19" s="15" t="str"/>
      <x:c r="D19" s="15" t="str">
        <x:v>Sharing and collaboration</x:v>
      </x:c>
      <x:c r="E19" s="15" t="n">
        <x:f>COUNTIF(Matrix!A2:A77,"Sharing and collaboration")</x:f>
        <x:v>9</x:v>
      </x:c>
      <x:c r="F19" s="15" t="str"/>
    </x:row>
    <x:row r="20">
      <x:c r="A20" s="15" t="str"/>
      <x:c r="B20" s="15" t="str"/>
      <x:c r="C20" s="15" t="str"/>
      <x:c r="D20" s="15" t="str">
        <x:v>Comments and review</x:v>
      </x:c>
      <x:c r="E20" s="15" t="n">
        <x:f>COUNTIF(Matrix!A2:A77,"Comments and review")</x:f>
        <x:v>3</x:v>
      </x:c>
      <x:c r="F20" s="15" t="str"/>
    </x:row>
    <x:row r="21">
      <x:c r="A21" s="15" t="str"/>
      <x:c r="B21" s="15" t="str"/>
      <x:c r="C21" s="15" t="str"/>
      <x:c r="D21" s="15" t="str">
        <x:v>Realtime and co-editing</x:v>
      </x:c>
      <x:c r="E21" s="15" t="n">
        <x:f>COUNTIF(Matrix!A2:A77,"Realtime and co-editing")</x:f>
        <x:v>6</x:v>
      </x:c>
      <x:c r="F21" s="15" t="str"/>
    </x:row>
    <x:row r="22">
      <x:c r="A22" s="15" t="str"/>
      <x:c r="B22" s="15" t="str"/>
      <x:c r="C22" s="15" t="str"/>
      <x:c r="D22" s="15" t="str">
        <x:v>Admin and feedback</x:v>
      </x:c>
      <x:c r="E22" s="15" t="n">
        <x:f>COUNTIF(Matrix!A2:A77,"Admin and feedback")</x:f>
        <x:v>4</x:v>
      </x:c>
      <x:c r="F22" s="15" t="str"/>
    </x:row>
    <x:row r="23">
      <x:c r="A23" s="15" t="str"/>
      <x:c r="B23" s="15" t="str"/>
      <x:c r="C23" s="15" t="str"/>
      <x:c r="D23" s="15" t="str">
        <x:v>Platform and data</x:v>
      </x:c>
      <x:c r="E23" s="15" t="n">
        <x:f>COUNTIF(Matrix!A2:A77,"Platform and data")</x:f>
        <x:v>4</x:v>
      </x:c>
      <x:c r="F23" s="15" t="str"/>
    </x:row>
    <x:row r="24">
      <x:c r="A24" s="15" t="str"/>
      <x:c r="B24" s="15" t="str"/>
      <x:c r="C24" s="15" t="str"/>
      <x:c r="D24" s="15" t="str">
        <x:v>Marketing and product surface</x:v>
      </x:c>
      <x:c r="E24" s="15" t="n">
        <x:f>COUNTIF(Matrix!A2:A77,"Marketing and product surface")</x:f>
        <x:v>4</x:v>
      </x:c>
      <x:c r="F24" s="15" t="str"/>
    </x:row>
    <x:row r="25">
      <x:c r="A25" s="15" t="str"/>
      <x:c r="B25" s="15" t="str"/>
      <x:c r="C25" s="15" t="str"/>
      <x:c r="D25" s="15" t="str">
        <x:v>Future product vision</x:v>
      </x:c>
      <x:c r="E25" s="15" t="n">
        <x:f>COUNTIF(Matrix!A2:A77,"Future product vision")</x:f>
        <x:v>4</x:v>
      </x:c>
      <x:c r="F25" s="15" t="str"/>
    </x:row>
    <x:row r="26">
      <x:c r="A26" s="15" t="str"/>
      <x:c r="B26" s="15" t="str"/>
      <x:c r="C26" s="15" t="str"/>
      <x:c r="D26" s="15" t="str">
        <x:v>Design system</x:v>
      </x:c>
      <x:c r="E26" s="15" t="n">
        <x:f>COUNTIF(Matrix!A2:A77,"Design system")</x:f>
        <x:v>5</x:v>
      </x:c>
      <x:c r="F26" s="15" t="str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14da32d1ba6467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8.329999923706055" hidden="0" customWidth="1"/>
    <x:col min="3" max="3" width="28.889999389648438" hidden="0" customWidth="1"/>
    <x:col min="4" max="4" width="10.5600004196167" hidden="0" customWidth="1"/>
    <x:col min="5" max="5" width="7.78000020980835" hidden="0" customWidth="1"/>
    <x:col min="6" max="6" width="8.890000343322754" hidden="0" customWidth="1"/>
    <x:col min="7" max="7" width="20" hidden="0" customWidth="1"/>
    <x:col min="8" max="8" width="28.889999389648438" hidden="0" customWidth="1"/>
    <x:col min="9" max="9" width="35.560001373291016" hidden="0" customWidth="1"/>
    <x:col min="10" max="10" width="31.110000610351562" hidden="0" customWidth="1"/>
    <x:col min="11" max="11" width="20" hidden="0" customWidth="1"/>
  </x:cols>
  <x:sheetData>
    <x:row r="1">
      <x:c r="A1" s="8" t="str">
        <x:v>Priority</x:v>
      </x:c>
      <x:c r="B1" s="8" t="str">
        <x:v>Area</x:v>
      </x:c>
      <x:c r="C1" s="8" t="str">
        <x:v>Feature</x:v>
      </x:c>
      <x:c r="D1" s="8" t="str">
        <x:v>Status</x:v>
      </x:c>
      <x:c r="E1" s="8" t="str">
        <x:v>LOE</x:v>
      </x:c>
      <x:c r="F1" s="8" t="str">
        <x:v>Risk</x:v>
      </x:c>
      <x:c r="G1" s="8" t="str">
        <x:v>Phase</x:v>
      </x:c>
      <x:c r="H1" s="8" t="str">
        <x:v>Dependency</x:v>
      </x:c>
      <x:c r="I1" s="8" t="str">
        <x:v>Evidence</x:v>
      </x:c>
      <x:c r="J1" s="8" t="str">
        <x:v>Notes</x:v>
      </x:c>
      <x:c r="K1" s="8" t="str">
        <x:v>Linear URL</x:v>
      </x:c>
    </x:row>
    <x:row r="2" ht="43.5" customHeight="1">
      <x:c r="A2" s="9" t="str">
        <x:v>P1</x:v>
      </x:c>
      <x:c r="B2" s="9" t="str">
        <x:v>Admin and feedback</x:v>
      </x:c>
      <x:c r="C2" s="9" t="str">
        <x:v>Usage metering and limits</x:v>
      </x:c>
      <x:c r="D2" s="9" t="str">
        <x:v>Partial</x:v>
      </x:c>
      <x:c r="E2" s="9" t="str">
        <x:v>M</x:v>
      </x:c>
      <x:c r="F2" s="9" t="str">
        <x:v>High</x:v>
      </x:c>
      <x:c r="G2" s="9" t="str">
        <x:v>Operational hardening</x:v>
      </x:c>
      <x:c r="H2" s="9" t="str">
        <x:v>Usage store and admin APIs</x:v>
      </x:c>
      <x:c r="I2" s="9" t="str">
        <x:v>README.md; routes/admin.js; config/</x:v>
      </x:c>
      <x:c r="J2" s="9" t="str">
        <x:v>Partial until current admin usage/cost work is validated and committed.</x:v>
      </x:c>
      <x:c r="K2" s="9" t="str"/>
    </x:row>
    <x:row r="3" ht="43.5" customHeight="1">
      <x:c r="A3" s="9" t="str">
        <x:v>P1</x:v>
      </x:c>
      <x:c r="B3" s="9" t="str">
        <x:v>Comments and review</x:v>
      </x:c>
      <x:c r="C3" s="9" t="str">
        <x:v>First-class backend comments</x:v>
      </x:c>
      <x:c r="D3" s="9" t="str">
        <x:v>Partial</x:v>
      </x:c>
      <x:c r="E3" s="9" t="str">
        <x:v>M</x:v>
      </x:c>
      <x:c r="F3" s="9" t="str">
        <x:v>High</x:v>
      </x:c>
      <x:c r="G3" s="9" t="str">
        <x:v>Collaboration Phase 3A</x:v>
      </x:c>
      <x:c r="H3" s="9" t="str">
        <x:v>Collaboration backend</x:v>
      </x:c>
      <x:c r="I3" s="9" t="str">
        <x:v>docs/collaboration-backend.md; docs/collaboration-roadmap.md</x:v>
      </x:c>
      <x:c r="J3" s="9" t="str">
        <x:v>Needed before commenter role is fully correct in live collaboration.</x:v>
      </x:c>
      <x:c r="K3" s="9" t="str"/>
    </x:row>
    <x:row r="4" ht="43.5" customHeight="1">
      <x:c r="A4" s="9" t="str">
        <x:v>P1</x:v>
      </x:c>
      <x:c r="B4" s="9" t="str">
        <x:v>Comments and review</x:v>
      </x:c>
      <x:c r="C4" s="9" t="str">
        <x:v>Commenter role functionality</x:v>
      </x:c>
      <x:c r="D4" s="9" t="str">
        <x:v>Planned</x:v>
      </x:c>
      <x:c r="E4" s="9" t="str">
        <x:v>M</x:v>
      </x:c>
      <x:c r="F4" s="9" t="str">
        <x:v>High</x:v>
      </x:c>
      <x:c r="G4" s="9" t="str">
        <x:v>Collaboration Phase 3</x:v>
      </x:c>
      <x:c r="H4" s="9" t="str">
        <x:v>First-class backend comments</x:v>
      </x:c>
      <x:c r="I4" s="9" t="str">
        <x:v>docs/collaboration-roadmap.md</x:v>
      </x:c>
      <x:c r="J4" s="9" t="str"/>
      <x:c r="K4" s="9" t="str"/>
    </x:row>
    <x:row r="5" ht="43.5" customHeight="1">
      <x:c r="A5" s="9" t="str">
        <x:v>P1</x:v>
      </x:c>
      <x:c r="B5" s="9" t="str">
        <x:v>Platform and data</x:v>
      </x:c>
      <x:c r="C5" s="9" t="str">
        <x:v>Postgres runtime path</x:v>
      </x:c>
      <x:c r="D5" s="9" t="str">
        <x:v>Partial</x:v>
      </x:c>
      <x:c r="E5" s="9" t="str">
        <x:v>L</x:v>
      </x:c>
      <x:c r="F5" s="9" t="str">
        <x:v>High</x:v>
      </x:c>
      <x:c r="G5" s="9" t="str">
        <x:v>Runtime migration</x:v>
      </x:c>
      <x:c r="H5" s="9" t="str">
        <x:v>Postgres migration validation</x:v>
      </x:c>
      <x:c r="I5" s="9" t="str">
        <x:v>README.md; docs/postgres-migration.md; docs/postgres-runtime-ops.md</x:v>
      </x:c>
      <x:c r="J5" s="9" t="str"/>
      <x:c r="K5" s="9" t="str"/>
    </x:row>
    <x:row r="6" ht="43.5" customHeight="1">
      <x:c r="A6" s="9" t="str">
        <x:v>P1</x:v>
      </x:c>
      <x:c r="B6" s="9" t="str">
        <x:v>Platform and data</x:v>
      </x:c>
      <x:c r="C6" s="9" t="str">
        <x:v>Worker/runtime split</x:v>
      </x:c>
      <x:c r="D6" s="9" t="str">
        <x:v>Partial</x:v>
      </x:c>
      <x:c r="E6" s="9" t="str">
        <x:v>M</x:v>
      </x:c>
      <x:c r="F6" s="9" t="str">
        <x:v>High</x:v>
      </x:c>
      <x:c r="G6" s="9" t="str">
        <x:v>Operational hardening</x:v>
      </x:c>
      <x:c r="H6" s="9" t="str">
        <x:v>Railway worker configuration</x:v>
      </x:c>
      <x:c r="I6" s="9" t="str">
        <x:v>README.md; docs/screenshot-pipeline-hardening.md</x:v>
      </x:c>
      <x:c r="J6" s="9" t="str">
        <x:v>Partial because this is runtime/deployment-sensitive.</x:v>
      </x:c>
      <x:c r="K6" s="9" t="str"/>
    </x:row>
    <x:row r="7" ht="43.5" customHeight="1">
      <x:c r="A7" s="9" t="str">
        <x:v>P1</x:v>
      </x:c>
      <x:c r="B7" s="9" t="str">
        <x:v>Platform and data</x:v>
      </x:c>
      <x:c r="C7" s="9" t="str">
        <x:v>R2 screenshot storage</x:v>
      </x:c>
      <x:c r="D7" s="9" t="str">
        <x:v>Partial</x:v>
      </x:c>
      <x:c r="E7" s="9" t="str">
        <x:v>M</x:v>
      </x:c>
      <x:c r="F7" s="9" t="str">
        <x:v>High</x:v>
      </x:c>
      <x:c r="G7" s="9" t="str">
        <x:v>Operational hardening</x:v>
      </x:c>
      <x:c r="H7" s="9" t="str">
        <x:v>R2 credentials and route validation</x:v>
      </x:c>
      <x:c r="I7" s="9" t="str">
        <x:v>docs/screenshot-pipeline-hardening.md</x:v>
      </x:c>
      <x:c r="J7" s="9" t="str">
        <x:v>Partial until runtime verification confirms the environment.</x:v>
      </x:c>
      <x:c r="K7" s="9" t="str"/>
    </x:row>
    <x:row r="8" ht="43.5" customHeight="1">
      <x:c r="A8" s="9" t="str">
        <x:v>P1</x:v>
      </x:c>
      <x:c r="B8" s="9" t="str">
        <x:v>Realtime and co-editing</x:v>
      </x:c>
      <x:c r="C8" s="9" t="str">
        <x:v>Live co-editing mode</x:v>
      </x:c>
      <x:c r="D8" s="9" t="str">
        <x:v>Partial</x:v>
      </x:c>
      <x:c r="E8" s="9" t="str">
        <x:v>XL</x:v>
      </x:c>
      <x:c r="F8" s="9" t="str">
        <x:v>High</x:v>
      </x:c>
      <x:c r="G8" s="9" t="str">
        <x:v>Phase 10D/10E</x:v>
      </x:c>
      <x:c r="H8" s="9" t="str">
        <x:v>COEDITING_EXPERIMENT_ENABLED and rollout gates</x:v>
      </x:c>
      <x:c r="I8" s="9" t="str">
        <x:v>docs/coediting-frontend-live-mode.md; docs/coediting-rollout-safety-controls.md</x:v>
      </x:c>
      <x:c r="J8" s="9" t="str">
        <x:v>Partial because it is feature-flagged and intentionally limited.</x:v>
      </x:c>
      <x:c r="K8" s="9" t="str"/>
    </x:row>
    <x:row r="9" ht="43.5" customHeight="1">
      <x:c r="A9" s="9" t="str">
        <x:v>P1</x:v>
      </x:c>
      <x:c r="B9" s="9" t="str">
        <x:v>Realtime and co-editing</x:v>
      </x:c>
      <x:c r="C9" s="9" t="str">
        <x:v>Activity event store</x:v>
      </x:c>
      <x:c r="D9" s="9" t="str">
        <x:v>Partial</x:v>
      </x:c>
      <x:c r="E9" s="9" t="str">
        <x:v>M</x:v>
      </x:c>
      <x:c r="F9" s="9" t="str">
        <x:v>High</x:v>
      </x:c>
      <x:c r="G9" s="9" t="str">
        <x:v>Collaboration Phase 2A</x:v>
      </x:c>
      <x:c r="H9" s="9" t="str">
        <x:v>Collaboration backend</x:v>
      </x:c>
      <x:c r="I9" s="9" t="str">
        <x:v>docs/collaboration-backend.md; docs/collaboration-roadmap.md</x:v>
      </x:c>
      <x:c r="J9" s="9" t="str"/>
      <x:c r="K9" s="9" t="str"/>
    </x:row>
    <x:row r="10" ht="43.5" customHeight="1">
      <x:c r="A10" s="9" t="str">
        <x:v>P1</x:v>
      </x:c>
      <x:c r="B10" s="9" t="str">
        <x:v>Sharing and collaboration</x:v>
      </x:c>
      <x:c r="C10" s="9" t="str">
        <x:v>Collaboration backend entities</x:v>
      </x:c>
      <x:c r="D10" s="9" t="str">
        <x:v>Partial</x:v>
      </x:c>
      <x:c r="E10" s="9" t="str">
        <x:v>M</x:v>
      </x:c>
      <x:c r="F10" s="9" t="str">
        <x:v>High</x:v>
      </x:c>
      <x:c r="G10" s="9" t="str">
        <x:v>Collaboration Phases 1-3</x:v>
      </x:c>
      <x:c r="H10" s="9" t="str">
        <x:v>COLLABORATION_BACKEND_ENABLED</x:v>
      </x:c>
      <x:c r="I10" s="9" t="str">
        <x:v>docs/collaboration-backend.md; routes/collaboration.js</x:v>
      </x:c>
      <x:c r="J10" s="9" t="str">
        <x:v>Partial because default behavior is unchanged when flag is off.</x:v>
      </x:c>
      <x:c r="K10" s="9" t="str"/>
    </x:row>
    <x:row r="11" ht="43.5" customHeight="1">
      <x:c r="A11" s="9" t="str">
        <x:v>P1</x:v>
      </x:c>
      <x:c r="B11" s="9" t="str">
        <x:v>Sharing and collaboration</x:v>
      </x:c>
      <x:c r="C11" s="9" t="str">
        <x:v>API-driven permission feature gates</x:v>
      </x:c>
      <x:c r="D11" s="9" t="str">
        <x:v>Partial</x:v>
      </x:c>
      <x:c r="E11" s="9" t="str">
        <x:v>M</x:v>
      </x:c>
      <x:c r="F11" s="9" t="str">
        <x:v>High</x:v>
      </x:c>
      <x:c r="G11" s="9" t="str">
        <x:v>Phase 9E</x:v>
      </x:c>
      <x:c r="H11" s="9" t="str">
        <x:v>REACT_APP_PERMISSION_GATING_ENABLED</x:v>
      </x:c>
      <x:c r="I11" s="9" t="str">
        <x:v>docs/permission-feature-gating.md; policies/permissionPolicy.js; frontend/src/api.js</x:v>
      </x:c>
      <x:c r="J11" s="9" t="str">
        <x:v>Partial because fallback legacy gating remains default.</x:v>
      </x:c>
      <x:c r="K11" s="9" t="str"/>
    </x:row>
    <x:row r="12" ht="43.5" customHeight="1">
      <x:c r="A12" s="9" t="str">
        <x:v>P1</x:v>
      </x:c>
      <x:c r="B12" s="9" t="str">
        <x:v>Sharing and collaboration</x:v>
      </x:c>
      <x:c r="C12" s="9" t="str">
        <x:v>Multiple owners</x:v>
      </x:c>
      <x:c r="D12" s="9" t="str">
        <x:v>Planned</x:v>
      </x:c>
      <x:c r="E12" s="9" t="str">
        <x:v>L</x:v>
      </x:c>
      <x:c r="F12" s="9" t="str">
        <x:v>High</x:v>
      </x:c>
      <x:c r="G12" s="9" t="str">
        <x:v>Collaboration Phase 1</x:v>
      </x:c>
      <x:c r="H12" s="9" t="str">
        <x:v>Permission model refactor</x:v>
      </x:c>
      <x:c r="I12" s="9" t="str">
        <x:v>docs/collaboration-roadmap.md</x:v>
      </x:c>
      <x:c r="J12" s="9" t="str"/>
      <x:c r="K12" s="9" t="str"/>
    </x:row>
    <x:row r="13" ht="43.5" customHeight="1">
      <x:c r="A13" s="9" t="str">
        <x:v>P1</x:v>
      </x:c>
      <x:c r="B13" s="9" t="str">
        <x:v>Sharing and collaboration</x:v>
      </x:c>
      <x:c r="C13" s="9" t="str">
        <x:v>Owner-governed collaboration policy</x:v>
      </x:c>
      <x:c r="D13" s="9" t="str">
        <x:v>Planned</x:v>
      </x:c>
      <x:c r="E13" s="9" t="str">
        <x:v>L</x:v>
      </x:c>
      <x:c r="F13" s="9" t="str">
        <x:v>High</x:v>
      </x:c>
      <x:c r="G13" s="9" t="str">
        <x:v>Collaboration Phase 1 + 6</x:v>
      </x:c>
      <x:c r="H13" s="9" t="str">
        <x:v>Multiple-owner model and collaboration settings</x:v>
      </x:c>
      <x:c r="I13" s="9" t="str">
        <x:v>docs/collaboration-roadmap.md; docs/collaboration-backend.md</x:v>
      </x:c>
      <x:c r="J13" s="9" t="str"/>
      <x:c r="K13" s="9" t="str"/>
    </x:row>
    <x:row r="14" ht="43.5" customHeight="1">
      <x:c r="A14" s="9" t="str">
        <x:v>P1</x:v>
      </x:c>
      <x:c r="B14" s="9" t="str">
        <x:v>Sharing and collaboration</x:v>
      </x:c>
      <x:c r="C14" s="9" t="str">
        <x:v>Transactional collaboration email</x:v>
      </x:c>
      <x:c r="D14" s="9" t="str">
        <x:v>Partial</x:v>
      </x:c>
      <x:c r="E14" s="9" t="str">
        <x:v>M</x:v>
      </x:c>
      <x:c r="F14" s="9" t="str">
        <x:v>High</x:v>
      </x:c>
      <x:c r="G14" s="9" t="str">
        <x:v>Platform track</x:v>
      </x:c>
      <x:c r="H14" s="9" t="str">
        <x:v>Email provider/domain setup</x:v>
      </x:c>
      <x:c r="I14" s="9" t="str">
        <x:v>docs/collaboration-roadmap.md; README.md</x:v>
      </x:c>
      <x:c r="J14" s="9" t="str">
        <x:v>Marketing/promotional email is out of scope.</x:v>
      </x:c>
      <x:c r="K14" s="9" t="str"/>
    </x:row>
    <x:row r="15" ht="43.5" customHeight="1">
      <x:c r="A15" s="9" t="str">
        <x:v>P1</x:v>
      </x:c>
      <x:c r="B15" s="9" t="str">
        <x:v>Marketing and product surface</x:v>
      </x:c>
      <x:c r="C15" s="9" t="str">
        <x:v>Marketing site information architecture</x:v>
      </x:c>
      <x:c r="D15" s="9" t="str">
        <x:v>Partial</x:v>
      </x:c>
      <x:c r="E15" s="9" t="str">
        <x:v>M</x:v>
      </x:c>
      <x:c r="F15" s="9" t="str">
        <x:v>Medium</x:v>
      </x:c>
      <x:c r="G15" s="9" t="str">
        <x:v>Marketing V1</x:v>
      </x:c>
      <x:c r="H15" s="9" t="str">
        <x:v>Marketing route/content finalization</x:v>
      </x:c>
      <x:c r="I15" s="9" t="str">
        <x:v>frontend/src/marketing/marketingConfig.js; frontend/src/marketing/MarketingSite.js; frontend/src/marketing/MarketingSite.test.js</x:v>
      </x:c>
      <x:c r="J15" s="9" t="str">
        <x:v>Partial because local marketing files are currently uncommitted in this checkout.</x:v>
      </x:c>
      <x:c r="K15" s="9" t="str"/>
    </x:row>
    <x:row r="16" ht="43.5" customHeight="1">
      <x:c r="A16" s="9" t="str">
        <x:v>P1</x:v>
      </x:c>
      <x:c r="B16" s="9" t="str">
        <x:v>Marketing and product surface</x:v>
      </x:c>
      <x:c r="C16" s="9" t="str">
        <x:v>Marketing SEO metadata and route tests</x:v>
      </x:c>
      <x:c r="D16" s="9" t="str">
        <x:v>Partial</x:v>
      </x:c>
      <x:c r="E16" s="9" t="str">
        <x:v>S</x:v>
      </x:c>
      <x:c r="F16" s="9" t="str">
        <x:v>Medium</x:v>
      </x:c>
      <x:c r="G16" s="9" t="str">
        <x:v>Marketing V1</x:v>
      </x:c>
      <x:c r="H16" s="9" t="str">
        <x:v>Marketing route finalization</x:v>
      </x:c>
      <x:c r="I16" s="9" t="str">
        <x:v>frontend/src/marketing/marketingConfig.js; frontend/src/marketing/MarketingSite.test.js; frontend/src/utils/appRoutes.test.js</x:v>
      </x:c>
      <x:c r="J16" s="9" t="str">
        <x:v>Partial for same uncommitted-checkout reason as marketing IA.</x:v>
      </x:c>
      <x:c r="K16" s="9" t="str"/>
    </x:row>
    <x:row r="17" ht="43.5" customHeight="1">
      <x:c r="A17" s="9" t="str">
        <x:v>P1</x:v>
      </x:c>
      <x:c r="B17" s="9" t="str">
        <x:v>Saving, projects, and versions</x:v>
      </x:c>
      <x:c r="C17" s="9" t="str">
        <x:v>Named version saves</x:v>
      </x:c>
      <x:c r="D17" s="9" t="str">
        <x:v>Partial</x:v>
      </x:c>
      <x:c r="E17" s="9" t="str">
        <x:v>M</x:v>
      </x:c>
      <x:c r="F17" s="9" t="str">
        <x:v>Medium</x:v>
      </x:c>
      <x:c r="G17" s="9" t="str">
        <x:v>Collaboration Phase 5</x:v>
      </x:c>
      <x:c r="H17" s="9" t="str">
        <x:v>Version metadata and actor attribution</x:v>
      </x:c>
      <x:c r="I17" s="9" t="str">
        <x:v>docs/collaboration-roadmap.md; frontend/src/components/modals/SaveVersionModal.js; frontend/src/components/modals/SaveVersionModal.test.js</x:v>
      </x:c>
      <x:c r="J17" s="9" t="str">
        <x:v>Keep on roadmap until Phase 5 exit criteria are met.</x:v>
      </x:c>
      <x:c r="K17" s="9" t="str"/>
    </x:row>
    <x:row r="18" ht="43.5" customHeight="1">
      <x:c r="A18" s="9" t="str">
        <x:v>P1</x:v>
      </x:c>
      <x:c r="B18" s="9" t="str">
        <x:v>Saving, projects, and versions</x:v>
      </x:c>
      <x:c r="C18" s="9" t="str">
        <x:v>Version history browsing</x:v>
      </x:c>
      <x:c r="D18" s="9" t="str">
        <x:v>Partial</x:v>
      </x:c>
      <x:c r="E18" s="9" t="str">
        <x:v>M</x:v>
      </x:c>
      <x:c r="F18" s="9" t="str">
        <x:v>Medium</x:v>
      </x:c>
      <x:c r="G18" s="9" t="str">
        <x:v>Collaboration Phase 5</x:v>
      </x:c>
      <x:c r="H18" s="9" t="str">
        <x:v>Version metadata and role-aware history access</x:v>
      </x:c>
      <x:c r="I18" s="9" t="str">
        <x:v>docs/collaboration-roadmap.md; frontend/src/components/drawers/VersionHistoryDrawer.js; frontend/src/components/drawers/VersionHistoryDrawer.test.js</x:v>
      </x:c>
      <x:c r="J18" s="9" t="str"/>
      <x:c r="K18" s="9" t="str"/>
    </x:row>
    <x:row r="19" ht="43.5" customHeight="1">
      <x:c r="A19" s="9" t="str">
        <x:v>P1</x:v>
      </x:c>
      <x:c r="B19" s="9" t="str">
        <x:v>Sharing and collaboration</x:v>
      </x:c>
      <x:c r="C19" s="9" t="str">
        <x:v>Invite acceptance and invite inbox</x:v>
      </x:c>
      <x:c r="D19" s="9" t="str">
        <x:v>Partial</x:v>
      </x:c>
      <x:c r="E19" s="9" t="str">
        <x:v>M</x:v>
      </x:c>
      <x:c r="F19" s="9" t="str">
        <x:v>Medium</x:v>
      </x:c>
      <x:c r="G19" s="9" t="str">
        <x:v>Collaboration Phase 6</x:v>
      </x:c>
      <x:c r="H19" s="9" t="str">
        <x:v>Collaboration backend and email delivery</x:v>
      </x:c>
      <x:c r="I19" s="9" t="str">
        <x:v>docs/collaboration-backend.md; frontend/src/components/routes/InviteAcceptGate.js; frontend/src/components/modals/InviteInboxModal.js</x:v>
      </x:c>
      <x:c r="J19" s="9" t="str">
        <x:v>Needs product validation with real email/invite flows.</x:v>
      </x:c>
      <x:c r="K19" s="9" t="str"/>
    </x:row>
    <x:row r="20" ht="43.5" customHeight="1">
      <x:c r="A20" s="9" t="str">
        <x:v>P1</x:v>
      </x:c>
      <x:c r="B20" s="9" t="str">
        <x:v>Sharing and collaboration</x:v>
      </x:c>
      <x:c r="C20" s="9" t="str">
        <x:v>Access request inbox</x:v>
      </x:c>
      <x:c r="D20" s="9" t="str">
        <x:v>Partial</x:v>
      </x:c>
      <x:c r="E20" s="9" t="str">
        <x:v>M</x:v>
      </x:c>
      <x:c r="F20" s="9" t="str">
        <x:v>Medium</x:v>
      </x:c>
      <x:c r="G20" s="9" t="str">
        <x:v>Collaboration Phase 6</x:v>
      </x:c>
      <x:c r="H20" s="9" t="str">
        <x:v>Owner policy and access-request backend</x:v>
      </x:c>
      <x:c r="I20" s="9" t="str">
        <x:v>docs/collaboration-backend.md; frontend/src/components/modals/AccessRequestInboxModal.js; frontend/src/components/modals/AccessRequestInboxModal.test.js</x:v>
      </x:c>
      <x:c r="J20" s="9" t="str"/>
      <x:c r="K20" s="9" t="str"/>
    </x:row>
    <x:row r="21" ht="43.5" customHeight="1">
      <x:c r="A21" s="9" t="str">
        <x:v>P2</x:v>
      </x:c>
      <x:c r="B21" s="9" t="str">
        <x:v>Future product vision</x:v>
      </x:c>
      <x:c r="C21" s="9" t="str">
        <x:v>Templates and assistant</x:v>
      </x:c>
      <x:c r="D21" s="9" t="str">
        <x:v>Future</x:v>
      </x:c>
      <x:c r="E21" s="9" t="str">
        <x:v>XL</x:v>
      </x:c>
      <x:c r="F21" s="9" t="str">
        <x:v>High</x:v>
      </x:c>
      <x:c r="G21" s="9" t="str">
        <x:v>Future vision</x:v>
      </x:c>
      <x:c r="H21" s="9" t="str">
        <x:v>Template model and AI workflow design</x:v>
      </x:c>
      <x:c r="I21" s="9" t="str">
        <x:v>frontend/src/marketing/marketingConfig.js</x:v>
      </x:c>
      <x:c r="J21" s="9" t="str"/>
      <x:c r="K21" s="9" t="str"/>
    </x:row>
    <x:row r="22" ht="43.5" customHeight="1">
      <x:c r="A22" s="9" t="str">
        <x:v>P2</x:v>
      </x:c>
      <x:c r="B22" s="9" t="str">
        <x:v>Realtime and co-editing</x:v>
      </x:c>
      <x:c r="C22" s="9" t="str">
        <x:v>Read-only realtime for viewers/commenters</x:v>
      </x:c>
      <x:c r="D22" s="9" t="str">
        <x:v>Planned</x:v>
      </x:c>
      <x:c r="E22" s="9" t="str">
        <x:v>L</x:v>
      </x:c>
      <x:c r="F22" s="9" t="str">
        <x:v>High</x:v>
      </x:c>
      <x:c r="G22" s="9" t="str">
        <x:v>Collaboration Phase 4/5</x:v>
      </x:c>
      <x:c r="H22" s="9" t="str">
        <x:v>Stable read-only subscription path</x:v>
      </x:c>
      <x:c r="I22" s="9" t="str">
        <x:v>docs/collaboration-roadmap.md</x:v>
      </x:c>
      <x:c r="J22" s="9" t="str"/>
      <x:c r="K22" s="9" t="str"/>
    </x:row>
    <x:row r="23" ht="43.5" customHeight="1">
      <x:c r="A23" s="9" t="str">
        <x:v>P2</x:v>
      </x:c>
      <x:c r="B23" s="9" t="str">
        <x:v>Scanning and discovery</x:v>
      </x:c>
      <x:c r="C23" s="9" t="str">
        <x:v>Authenticated/private page scanning</x:v>
      </x:c>
      <x:c r="D23" s="9" t="str">
        <x:v>Future</x:v>
      </x:c>
      <x:c r="E23" s="9" t="str">
        <x:v>L</x:v>
      </x:c>
      <x:c r="F23" s="9" t="str">
        <x:v>High</x:v>
      </x:c>
      <x:c r="G23" s="9" t="str">
        <x:v>Future scan hardening</x:v>
      </x:c>
      <x:c r="H23" s="9" t="str">
        <x:v>Stable auth-session scan flow</x:v>
      </x:c>
      <x:c r="I23" s="9" t="str">
        <x:v>docs/authenticated-scan-paused.md; scripts/check-scan-auth-session.js</x:v>
      </x:c>
      <x:c r="J23" s="9" t="str">
        <x:v>Do not treat as shipped until both frontend and backend flags are re-enabled and staged.</x:v>
      </x:c>
      <x:c r="K23" s="9" t="str"/>
    </x:row>
    <x:row r="24" ht="43.5" customHeight="1">
      <x:c r="A24" s="9" t="str">
        <x:v>P2</x:v>
      </x:c>
      <x:c r="B24" s="9" t="str">
        <x:v>Design system</x:v>
      </x:c>
      <x:c r="C24" s="9" t="str">
        <x:v>Figma library handoff contract</x:v>
      </x:c>
      <x:c r="D24" s="9" t="str">
        <x:v>Partial</x:v>
      </x:c>
      <x:c r="E24" s="9" t="str">
        <x:v>M</x:v>
      </x:c>
      <x:c r="F24" s="9" t="str">
        <x:v>Medium</x:v>
      </x:c>
      <x:c r="G24" s="9" t="str">
        <x:v>Design system Phase 1</x:v>
      </x:c>
      <x:c r="H24" s="9" t="str">
        <x:v>Stable app tokens/components</x:v>
      </x:c>
      <x:c r="I24" s="9" t="str">
        <x:v>docs/design-system/figma-code-first-handoff.md; docs/design-system/figma-parity-map.md</x:v>
      </x:c>
      <x:c r="J24" s="9" t="str"/>
      <x:c r="K24" s="9" t="str"/>
    </x:row>
    <x:row r="25" ht="43.5" customHeight="1">
      <x:c r="A25" s="9" t="str">
        <x:v>P2</x:v>
      </x:c>
      <x:c r="B25" s="9" t="str">
        <x:v>Design system</x:v>
      </x:c>
      <x:c r="C25" s="9" t="str">
        <x:v>Shared menu surface primitive</x:v>
      </x:c>
      <x:c r="D25" s="9" t="str">
        <x:v>Planned</x:v>
      </x:c>
      <x:c r="E25" s="9" t="str">
        <x:v>M</x:v>
      </x:c>
      <x:c r="F25" s="9" t="str">
        <x:v>Medium</x:v>
      </x:c>
      <x:c r="G25" s="9" t="str">
        <x:v>Design system cleanup</x:v>
      </x:c>
      <x:c r="H25" s="9" t="str">
        <x:v>UI primitive consolidation</x:v>
      </x:c>
      <x:c r="I25" s="9" t="str">
        <x:v>docs/design-system/figma-code-first-handoff.md</x:v>
      </x:c>
      <x:c r="J25" s="9" t="str"/>
      <x:c r="K25" s="9" t="str"/>
    </x:row>
    <x:row r="26" ht="43.5" customHeight="1">
      <x:c r="A26" s="9" t="str">
        <x:v>P2</x:v>
      </x:c>
      <x:c r="B26" s="9" t="str">
        <x:v>Images and capture</x:v>
      </x:c>
      <x:c r="C26" s="9" t="str">
        <x:v>Download screenshot batches</x:v>
      </x:c>
      <x:c r="D26" s="9" t="str">
        <x:v>Planned</x:v>
      </x:c>
      <x:c r="E26" s="9" t="str">
        <x:v>M</x:v>
      </x:c>
      <x:c r="F26" s="9" t="str">
        <x:v>Medium</x:v>
      </x:c>
      <x:c r="G26" s="9" t="str">
        <x:v>Phase 9G</x:v>
      </x:c>
      <x:c r="H26" s="9" t="str">
        <x:v>Stable screenshot asset persistence</x:v>
      </x:c>
      <x:c r="I26" s="9" t="str">
        <x:v>docs/screenshot-pipeline-hardening.md</x:v>
      </x:c>
      <x:c r="J26" s="9" t="str"/>
      <x:c r="K26" s="9" t="str"/>
    </x:row>
    <x:row r="27" ht="43.5" customHeight="1">
      <x:c r="A27" s="9" t="str">
        <x:v>P2</x:v>
      </x:c>
      <x:c r="B27" s="9" t="str">
        <x:v>Marketing and product surface</x:v>
      </x:c>
      <x:c r="C27" s="9" t="str">
        <x:v>Examples library</x:v>
      </x:c>
      <x:c r="D27" s="9" t="str">
        <x:v>Planned</x:v>
      </x:c>
      <x:c r="E27" s="9" t="str">
        <x:v>M</x:v>
      </x:c>
      <x:c r="F27" s="9" t="str">
        <x:v>Medium</x:v>
      </x:c>
      <x:c r="G27" s="9" t="str">
        <x:v>Marketing V1/V2</x:v>
      </x:c>
      <x:c r="H27" s="9" t="str">
        <x:v>Example content and screenshots</x:v>
      </x:c>
      <x:c r="I27" s="9" t="str">
        <x:v>frontend/src/marketing/marketingConfig.js</x:v>
      </x:c>
      <x:c r="J27" s="9" t="str"/>
      <x:c r="K27" s="9" t="str"/>
    </x:row>
    <x:row r="28" ht="43.5" customHeight="1">
      <x:c r="A28" s="9" t="str">
        <x:v>P2</x:v>
      </x:c>
      <x:c r="B28" s="9" t="str">
        <x:v>Realtime and co-editing</x:v>
      </x:c>
      <x:c r="C28" s="9" t="str">
        <x:v>Presence sessions</x:v>
      </x:c>
      <x:c r="D28" s="9" t="str">
        <x:v>Partial</x:v>
      </x:c>
      <x:c r="E28" s="9" t="str">
        <x:v>M</x:v>
      </x:c>
      <x:c r="F28" s="9" t="str">
        <x:v>Medium</x:v>
      </x:c>
      <x:c r="G28" s="9" t="str">
        <x:v>Phase 9D</x:v>
      </x:c>
      <x:c r="H28" s="9" t="str">
        <x:v>REALTIME_BASELINE_ENABLED</x:v>
      </x:c>
      <x:c r="I28" s="9" t="str">
        <x:v>docs/realtime-collaboration-baseline.md; frontend/src/hooks/useCoeditingLive.test.js</x:v>
      </x:c>
      <x:c r="J28" s="9" t="str">
        <x:v>Not full co-editing.</x:v>
      </x:c>
      <x:c r="K28" s="9" t="str"/>
    </x:row>
    <x:row r="29" ht="43.5" customHeight="1">
      <x:c r="A29" s="9" t="str">
        <x:v>P2</x:v>
      </x:c>
      <x:c r="B29" s="9" t="str">
        <x:v>Realtime and co-editing</x:v>
      </x:c>
      <x:c r="C29" s="9" t="str">
        <x:v>Collaborator selection presence</x:v>
      </x:c>
      <x:c r="D29" s="9" t="str">
        <x:v>Partial</x:v>
      </x:c>
      <x:c r="E29" s="9" t="str">
        <x:v>M</x:v>
      </x:c>
      <x:c r="F29" s="9" t="str">
        <x:v>Medium</x:v>
      </x:c>
      <x:c r="G29" s="9" t="str">
        <x:v>Phase 10D</x:v>
      </x:c>
      <x:c r="H29" s="9" t="str">
        <x:v>Live WebSocket session</x:v>
      </x:c>
      <x:c r="I29" s="9" t="str">
        <x:v>docs/coediting-frontend-live-mode.md</x:v>
      </x:c>
      <x:c r="J29" s="9" t="str">
        <x:v>No full cursor streaming yet.</x:v>
      </x:c>
      <x:c r="K29" s="9" t="str"/>
    </x:row>
    <x:row r="30" ht="43.5" customHeight="1">
      <x:c r="A30" s="9" t="str">
        <x:v>P2</x:v>
      </x:c>
      <x:c r="B30" s="9" t="str">
        <x:v>Realtime and co-editing</x:v>
      </x:c>
      <x:c r="C30" s="9" t="str">
        <x:v>Live update notifications</x:v>
      </x:c>
      <x:c r="D30" s="9" t="str">
        <x:v>Planned</x:v>
      </x:c>
      <x:c r="E30" s="9" t="str">
        <x:v>M</x:v>
      </x:c>
      <x:c r="F30" s="9" t="str">
        <x:v>Medium</x:v>
      </x:c>
      <x:c r="G30" s="9" t="str">
        <x:v>Collaboration Phase 5</x:v>
      </x:c>
      <x:c r="H30" s="9" t="str">
        <x:v>Activity event store</x:v>
      </x:c>
      <x:c r="I30" s="9" t="str">
        <x:v>docs/collaboration-roadmap.md</x:v>
      </x:c>
      <x:c r="J30" s="9" t="str"/>
      <x:c r="K30" s="9" t="str"/>
    </x:row>
    <x:row r="31" ht="43.5" customHeight="1">
      <x:c r="A31" s="9" t="str">
        <x:v>P3</x:v>
      </x:c>
      <x:c r="B31" s="9" t="str">
        <x:v>Future product vision</x:v>
      </x:c>
      <x:c r="C31" s="9" t="str">
        <x:v>Navigation prototyping and tree testing</x:v>
      </x:c>
      <x:c r="D31" s="9" t="str">
        <x:v>Future</x:v>
      </x:c>
      <x:c r="E31" s="9" t="str">
        <x:v>XL</x:v>
      </x:c>
      <x:c r="F31" s="9" t="str">
        <x:v>High</x:v>
      </x:c>
      <x:c r="G31" s="9" t="str">
        <x:v>Future vision</x:v>
      </x:c>
      <x:c r="H31" s="9" t="str">
        <x:v>Research/testing workflow design</x:v>
      </x:c>
      <x:c r="I31" s="9" t="str">
        <x:v>frontend/src/marketing/marketingConfig.js</x:v>
      </x:c>
      <x:c r="J31" s="9" t="str"/>
      <x:c r="K31" s="9" t="str"/>
    </x:row>
    <x:row r="32" ht="43.5" customHeight="1">
      <x:c r="A32" s="9" t="str">
        <x:v>P3</x:v>
      </x:c>
      <x:c r="B32" s="9" t="str">
        <x:v>Future product vision</x:v>
      </x:c>
      <x:c r="C32" s="9" t="str">
        <x:v>Diagramming tools</x:v>
      </x:c>
      <x:c r="D32" s="9" t="str">
        <x:v>Future</x:v>
      </x:c>
      <x:c r="E32" s="9" t="str">
        <x:v>XL</x:v>
      </x:c>
      <x:c r="F32" s="9" t="str">
        <x:v>High</x:v>
      </x:c>
      <x:c r="G32" s="9" t="str">
        <x:v>Future vision</x:v>
      </x:c>
      <x:c r="H32" s="9" t="str">
        <x:v>Canvas/product model extension</x:v>
      </x:c>
      <x:c r="I32" s="9" t="str">
        <x:v>frontend/src/marketing/marketingConfig.js</x:v>
      </x:c>
      <x:c r="J32" s="9" t="str"/>
      <x:c r="K32" s="9" t="str"/>
    </x:row>
    <x:row r="33" ht="43.5" customHeight="1">
      <x:c r="A33" s="9" t="str">
        <x:v>P3</x:v>
      </x:c>
      <x:c r="B33" s="9" t="str">
        <x:v>Future product vision</x:v>
      </x:c>
      <x:c r="C33" s="9" t="str">
        <x:v>Third-party integrations</x:v>
      </x:c>
      <x:c r="D33" s="9" t="str">
        <x:v>Future</x:v>
      </x:c>
      <x:c r="E33" s="9" t="str">
        <x:v>XL</x:v>
      </x:c>
      <x:c r="F33" s="9" t="str">
        <x:v>High</x:v>
      </x:c>
      <x:c r="G33" s="9" t="str">
        <x:v>Future vision</x:v>
      </x:c>
      <x:c r="H33" s="9" t="str">
        <x:v>Integration strategy and auth scopes</x:v>
      </x:c>
      <x:c r="I33" s="9" t="str">
        <x:v>frontend/src/marketing/marketingConfig.js</x:v>
      </x:c>
      <x:c r="J33" s="9" t="str">
        <x:v>Linear can be added here later if chosen.</x:v>
      </x:c>
      <x:c r="K33" s="9" t="str"/>
    </x:row>
    <x:row r="34" ht="43.5" customHeight="1">
      <x:c r="A34" s="9" t="str">
        <x:v>P3</x:v>
      </x:c>
      <x:c r="B34" s="9" t="str">
        <x:v>Images and capture</x:v>
      </x:c>
      <x:c r="C34" s="9" t="str">
        <x:v>Remove/rescan screenshot assets</x:v>
      </x:c>
      <x:c r="D34" s="9" t="str">
        <x:v>Future</x:v>
      </x:c>
      <x:c r="E34" s="9" t="str">
        <x:v>M</x:v>
      </x:c>
      <x:c r="F34" s="9" t="str">
        <x:v>High</x:v>
      </x:c>
      <x:c r="G34" s="9" t="str">
        <x:v>Future asset lifecycle</x:v>
      </x:c>
      <x:c r="H34" s="9" t="str">
        <x:v>Trusted backend asset model and file reclamation</x:v>
      </x:c>
      <x:c r="I34" s="9" t="str">
        <x:v>docs/screenshot-pipeline-hardening.md</x:v>
      </x:c>
      <x:c r="J34" s="9" t="str"/>
      <x:c r="K34" s="9" t="str"/>
    </x:row>
    <x:row r="35" ht="43.5" customHeight="1">
      <x:c r="A35" s="9" t="str">
        <x:v>P3</x:v>
      </x:c>
      <x:c r="B35" s="9" t="str">
        <x:v>Design system</x:v>
      </x:c>
      <x:c r="C35" s="9" t="str">
        <x:v>Code Connect automation</x:v>
      </x:c>
      <x:c r="D35" s="9" t="str">
        <x:v>Future</x:v>
      </x:c>
      <x:c r="E35" s="9" t="str">
        <x:v>L</x:v>
      </x:c>
      <x:c r="F35" s="9" t="str">
        <x:v>Medium</x:v>
      </x:c>
      <x:c r="G35" s="9" t="str">
        <x:v>Design system Phase 2</x:v>
      </x:c>
      <x:c r="H35" s="9" t="str">
        <x:v>Figma Developer seat and stable component names</x:v>
      </x:c>
      <x:c r="I35" s="9" t="str">
        <x:v>docs/design-system/figma-code-first-handoff.md</x:v>
      </x:c>
      <x:c r="J35" s="9" t="str"/>
      <x:c r="K35" s="9" t="str"/>
    </x:row>
    <x:row r="36" ht="43.5" customHeight="1">
      <x:c r="A36" s="9" t="str">
        <x:v>P3</x:v>
      </x:c>
      <x:c r="B36" s="9" t="str">
        <x:v>Design system</x:v>
      </x:c>
      <x:c r="C36" s="9" t="str">
        <x:v>Shared option-card primitive</x:v>
      </x:c>
      <x:c r="D36" s="9" t="str">
        <x:v>Partial</x:v>
      </x:c>
      <x:c r="E36" s="9" t="str">
        <x:v>S</x:v>
      </x:c>
      <x:c r="F36" s="9" t="str">
        <x:v>Low</x:v>
      </x:c>
      <x:c r="G36" s="9" t="str">
        <x:v>Design system cleanup</x:v>
      </x:c>
      <x:c r="H36" s="9" t="str">
        <x:v>Component consolidation</x:v>
      </x:c>
      <x:c r="I36" s="9" t="str">
        <x:v>docs/design-system/figma-code-first-handoff.md; frontend/src/components/ui/OptionCard.js</x:v>
      </x:c>
      <x:c r="J36" s="9" t="str"/>
      <x:c r="K36" s="9" t="str"/>
    </x:row>
    <x:row r="37" ht="43.5" customHeight="1">
      <x:c r="A37" s="9" t="str">
        <x:v>TBD</x:v>
      </x:c>
      <x:c r="B37" s="9" t="str">
        <x:v>Marketing and product surface</x:v>
      </x:c>
      <x:c r="C37" s="9" t="str">
        <x:v>Pricing plan details</x:v>
      </x:c>
      <x:c r="D37" s="9" t="str">
        <x:v>Unknown</x:v>
      </x:c>
      <x:c r="E37" s="9" t="str">
        <x:v>TBD</x:v>
      </x:c>
      <x:c r="F37" s="9" t="str">
        <x:v>TBD</x:v>
      </x:c>
      <x:c r="G37" s="9" t="str">
        <x:v>Business decision</x:v>
      </x:c>
      <x:c r="H37" s="9" t="str">
        <x:v>Pricing/product decision</x:v>
      </x:c>
      <x:c r="I37" s="9" t="str"/>
      <x:c r="J37" s="9" t="str">
        <x:v>Track as a decision, not an engineering task yet.</x:v>
      </x:c>
      <x:c r="K37" s="9" t="str"/>
    </x:row>
  </x:sheetData>
  <x:pageMargins left="0.7" right="0.7" top="0.75" bottom="0.75" header="0.3" footer="0.3"/>
  <x:tableParts count="1">
    <x:tablePart xmlns:r="http://schemas.openxmlformats.org/officeDocument/2006/relationships" r:id="R7e79e9e18ed5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57.779998779296875" hidden="0" customWidth="1"/>
  </x:cols>
  <x:sheetData>
    <x:row r="1">
      <x:c r="A1" s="8" t="str">
        <x:v>Field</x:v>
      </x:c>
      <x:c r="B1" s="8" t="str">
        <x:v>Value</x:v>
      </x:c>
      <x:c r="C1" s="8" t="str">
        <x:v>Meaning</x:v>
      </x:c>
    </x:row>
    <x:row r="2">
      <x:c r="A2" s="9" t="str">
        <x:v>Status</x:v>
      </x:c>
      <x:c r="B2" s="9" t="str">
        <x:v>Complete</x:v>
      </x:c>
      <x:c r="C2" s="9" t="str">
        <x:v>Default-on shipped behavior or validated current capability.</x:v>
      </x:c>
    </x:row>
    <x:row r="3">
      <x:c r="A3" s="9" t="str">
        <x:v>Status</x:v>
      </x:c>
      <x:c r="B3" s="9" t="str">
        <x:v>Partial</x:v>
      </x:c>
      <x:c r="C3" s="9" t="str">
        <x:v>Implemented behind flags, backend-only, not fully validated, or not fully productized.</x:v>
      </x:c>
    </x:row>
    <x:row r="4">
      <x:c r="A4" s="9" t="str">
        <x:v>Status</x:v>
      </x:c>
      <x:c r="B4" s="9" t="str">
        <x:v>Planned</x:v>
      </x:c>
      <x:c r="C4" s="9" t="str">
        <x:v>Documented roadmap item with a likely near/mid-term build path.</x:v>
      </x:c>
    </x:row>
    <x:row r="5">
      <x:c r="A5" s="9" t="str">
        <x:v>Status</x:v>
      </x:c>
      <x:c r="B5" s="9" t="str">
        <x:v>Future</x:v>
      </x:c>
      <x:c r="C5" s="9" t="str">
        <x:v>Longer-term idea or intentionally deferred capability.</x:v>
      </x:c>
    </x:row>
    <x:row r="6">
      <x:c r="A6" s="9" t="str">
        <x:v>Status</x:v>
      </x:c>
      <x:c r="B6" s="9" t="str">
        <x:v>Unknown</x:v>
      </x:c>
      <x:c r="C6" s="9" t="str">
        <x:v>Important product decision without enough repo evidence yet.</x:v>
      </x:c>
    </x:row>
    <x:row r="7">
      <x:c r="A7" s="9" t="str">
        <x:v>Priority</x:v>
      </x:c>
      <x:c r="B7" s="9" t="str">
        <x:v>P0</x:v>
      </x:c>
      <x:c r="C7" s="9" t="str">
        <x:v>Critical current product capability.</x:v>
      </x:c>
    </x:row>
    <x:row r="8">
      <x:c r="A8" s="9" t="str">
        <x:v>Priority</x:v>
      </x:c>
      <x:c r="B8" s="9" t="str">
        <x:v>P1</x:v>
      </x:c>
      <x:c r="C8" s="9" t="str">
        <x:v>Important near-term capability or blocker.</x:v>
      </x:c>
    </x:row>
    <x:row r="9">
      <x:c r="A9" s="9" t="str">
        <x:v>Priority</x:v>
      </x:c>
      <x:c r="B9" s="9" t="str">
        <x:v>P2</x:v>
      </x:c>
      <x:c r="C9" s="9" t="str">
        <x:v>Useful but not immediately blocking.</x:v>
      </x:c>
    </x:row>
    <x:row r="10">
      <x:c r="A10" s="9" t="str">
        <x:v>Priority</x:v>
      </x:c>
      <x:c r="B10" s="9" t="str">
        <x:v>P3</x:v>
      </x:c>
      <x:c r="C10" s="9" t="str">
        <x:v>Longer-term or lower urgency.</x:v>
      </x:c>
    </x:row>
    <x:row r="11">
      <x:c r="A11" s="9" t="str">
        <x:v>Priority</x:v>
      </x:c>
      <x:c r="B11" s="9" t="str">
        <x:v>TBD</x:v>
      </x:c>
      <x:c r="C11" s="9" t="str">
        <x:v>Needs product decision before ranking.</x:v>
      </x:c>
    </x:row>
    <x:row r="12">
      <x:c r="A12" s="9" t="str">
        <x:v>LOE</x:v>
      </x:c>
      <x:c r="B12" s="9" t="str">
        <x:v>Done</x:v>
      </x:c>
      <x:c r="C12" s="9" t="str">
        <x:v>Already implemented enough for the current status.</x:v>
      </x:c>
    </x:row>
    <x:row r="13">
      <x:c r="A13" s="9" t="str">
        <x:v>LOE</x:v>
      </x:c>
      <x:c r="B13" s="9" t="str">
        <x:v>XS/S/M/L/XL</x:v>
      </x:c>
      <x:c r="C13" s="9" t="str">
        <x:v>Relative implementation effort estimate for remaining work.</x:v>
      </x:c>
    </x:row>
    <x:row r="14">
      <x:c r="A14" s="9" t="str">
        <x:v>Risk</x:v>
      </x:c>
      <x:c r="B14" s="9" t="str">
        <x:v>Low/Medium/High</x:v>
      </x:c>
      <x:c r="C14" s="9" t="str">
        <x:v>Risk to product quality, security, runtime, or rework.</x:v>
      </x:c>
    </x:row>
    <x:row r="15">
      <x:c r="A15" s="9" t="str">
        <x:v>Linear URL</x:v>
      </x:c>
      <x:c r="B15" s="9" t="str"/>
      <x:c r="C15" s="9" t="str">
        <x:v>Leave blank until a feature becomes a committed task or bug.</x:v>
      </x:c>
    </x:row>
  </x:sheetData>
  <x:pageMargins left="0.7" right="0.7" top="0.75" bottom="0.75" header="0.3" footer="0.3"/>
  <x:tableParts count="1">
    <x:tablePart xmlns:r="http://schemas.openxmlformats.org/officeDocument/2006/relationships" r:id="Rc588d823cafb4dc8"/>
  </x:tableParts>
</x:worksheet>
</file>